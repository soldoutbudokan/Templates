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Projection" sheetId="2" state="visible" r:id="rId4"/>
    <sheet name="Summary" sheetId="3" state="visible" r:id="rId5"/>
    <sheet name="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<sst xmlns="http://schemas.openxmlformats.org/spreadsheetml/2006/main" count="130" uniqueCount="115">
  <si>
    <t xml:space="preserve">Years of Plenty, Years of Bread</t>
  </si>
  <si>
    <t xml:space="preserve">Retirement projection. All values in 2026 dollars (real terms, net of inflation).</t>
  </si>
  <si>
    <t xml:space="preserve">Blue cells are inputs you can change. Black are formulas. Green are cross-sheet links.</t>
  </si>
  <si>
    <t xml:space="preserve">PERSONAL</t>
  </si>
  <si>
    <t xml:space="preserve">Current age</t>
  </si>
  <si>
    <t xml:space="preserve">yrs</t>
  </si>
  <si>
    <t xml:space="preserve">Net worth today</t>
  </si>
  <si>
    <t xml:space="preserve">CAD</t>
  </si>
  <si>
    <t xml:space="preserve">Career start age</t>
  </si>
  <si>
    <t xml:space="preserve">When CPP contributions began</t>
  </si>
  <si>
    <t xml:space="preserve">Lifespan to plan for</t>
  </si>
  <si>
    <t xml:space="preserve">End-of-plan age</t>
  </si>
  <si>
    <t xml:space="preserve">CAREER AND SAVING</t>
  </si>
  <si>
    <t xml:space="preserve">Income now</t>
  </si>
  <si>
    <t xml:space="preserve">CAD/yr</t>
  </si>
  <si>
    <t xml:space="preserve">Peak income</t>
  </si>
  <si>
    <t xml:space="preserve">Years until peak</t>
  </si>
  <si>
    <t xml:space="preserve">Years held at peak</t>
  </si>
  <si>
    <t xml:space="preserve">Income after step-down</t>
  </si>
  <si>
    <t xml:space="preserve">Saving rate</t>
  </si>
  <si>
    <t xml:space="preserve">of after-tax</t>
  </si>
  <si>
    <t xml:space="preserve">MARKETS AND RETIREMENT</t>
  </si>
  <si>
    <t xml:space="preserve">Real return (after inflation)</t>
  </si>
  <si>
    <t xml:space="preserve">per year</t>
  </si>
  <si>
    <t xml:space="preserve">Stocks ~7%, balanced ~5%</t>
  </si>
  <si>
    <t xml:space="preserve">Retirement age</t>
  </si>
  <si>
    <t xml:space="preserve">Age you stop working</t>
  </si>
  <si>
    <t xml:space="preserve">GOVERNMENT BENEFITS</t>
  </si>
  <si>
    <t xml:space="preserve">CPP claim age</t>
  </si>
  <si>
    <t xml:space="preserve">60 to 70. Defer to 70 boosts by 42%.</t>
  </si>
  <si>
    <t xml:space="preserve">CPP at 65, max contributor</t>
  </si>
  <si>
    <t xml:space="preserve">Enhanced CPP, 39+ years of max contributions.</t>
  </si>
  <si>
    <t xml:space="preserve">OAS at 65</t>
  </si>
  <si>
    <t xml:space="preserve">OAS clawback threshold</t>
  </si>
  <si>
    <t xml:space="preserve">Net taxable income above this triggers clawback.</t>
  </si>
  <si>
    <t xml:space="preserve">DERIVED VALUES (FORMULAS, DO NOT EDIT)</t>
  </si>
  <si>
    <t xml:space="preserve">Working years (CPP contributions)</t>
  </si>
  <si>
    <t xml:space="preserve">CPP contribution factor</t>
  </si>
  <si>
    <t xml:space="preserve">of max</t>
  </si>
  <si>
    <t xml:space="preserve">39 contribution years gets you the max.</t>
  </si>
  <si>
    <t xml:space="preserve">CPP claim age factor</t>
  </si>
  <si>
    <t xml:space="preserve">0.64 at 60, 1.0 at 65, 1.42 at 70.</t>
  </si>
  <si>
    <t xml:space="preserve">CPP annual at claim</t>
  </si>
  <si>
    <t xml:space="preserve">OAS effective claim age</t>
  </si>
  <si>
    <t xml:space="preserve">OAS earliest at 65; defer up to 70.</t>
  </si>
  <si>
    <t xml:space="preserve">OAS deferral factor</t>
  </si>
  <si>
    <t xml:space="preserve">1.36 at age 70.</t>
  </si>
  <si>
    <t xml:space="preserve">OAS annual at claim</t>
  </si>
  <si>
    <t xml:space="preserve">ONTARIO 2026 COMBINED TAX BRACKETS (FEDERAL + PROVINCIAL)</t>
  </si>
  <si>
    <t xml:space="preserve">From (CAD)</t>
  </si>
  <si>
    <t xml:space="preserve">Marginal rate above</t>
  </si>
  <si>
    <t xml:space="preserve">Cumulative tax at threshold</t>
  </si>
  <si>
    <t xml:space="preserve">Age</t>
  </si>
  <si>
    <t xml:space="preserve">Phase</t>
  </si>
  <si>
    <t xml:space="preserve">Gross income</t>
  </si>
  <si>
    <t xml:space="preserve">Tax</t>
  </si>
  <si>
    <t xml:space="preserve">After-tax</t>
  </si>
  <si>
    <t xml:space="preserve">Saving</t>
  </si>
  <si>
    <t xml:space="preserve">Portfolio start</t>
  </si>
  <si>
    <t xml:space="preserve">Growth</t>
  </si>
  <si>
    <t xml:space="preserve">Contribution</t>
  </si>
  <si>
    <t xml:space="preserve">CPP</t>
  </si>
  <si>
    <t xml:space="preserve">OAS</t>
  </si>
  <si>
    <t xml:space="preserve">Portfolio draw</t>
  </si>
  <si>
    <t xml:space="preserve">Total income</t>
  </si>
  <si>
    <t xml:space="preserve">Portfolio end</t>
  </si>
  <si>
    <t xml:space="preserve">The headline numbers</t>
  </si>
  <si>
    <t xml:space="preserve">All figures in 2026 dollars. Read with the caveats on the Notes tab.</t>
  </si>
  <si>
    <t xml:space="preserve">Portfolio at retirement</t>
  </si>
  <si>
    <t xml:space="preserve">Annual retirement income (sustainable, level)</t>
  </si>
  <si>
    <t xml:space="preserve">(after estimated OAS clawback)</t>
  </si>
  <si>
    <t xml:space="preserve">MATH</t>
  </si>
  <si>
    <t xml:space="preserve">Years in retirement</t>
  </si>
  <si>
    <t xml:space="preserve">Lifespan minus retirement age.</t>
  </si>
  <si>
    <t xml:space="preserve">Annuity factor (retirement period)</t>
  </si>
  <si>
    <t xml:space="preserve">PV of $1 per year over retirement at the real return.</t>
  </si>
  <si>
    <t xml:space="preserve">Sustainable income (net of clawback)</t>
  </si>
  <si>
    <t xml:space="preserve">What you actually receive each year, in today's dollars.</t>
  </si>
  <si>
    <t xml:space="preserve">Present value of CPP (at retirement)</t>
  </si>
  <si>
    <t xml:space="preserve">Present value of OAS (at retirement)</t>
  </si>
  <si>
    <t xml:space="preserve">Total present value (portfolio + CPP + OAS)</t>
  </si>
  <si>
    <t xml:space="preserve">Sustainable income (gross)</t>
  </si>
  <si>
    <t xml:space="preserve">Total PV divided by annuity factor.</t>
  </si>
  <si>
    <t xml:space="preserve">OAS clawback estimate</t>
  </si>
  <si>
    <t xml:space="preserve">15% of income above the OAS threshold.</t>
  </si>
  <si>
    <t xml:space="preserve">INCOME BREAKDOWN AT FULL RETIREMENT (CPP + OAS + portfolio)</t>
  </si>
  <si>
    <t xml:space="preserve">Source</t>
  </si>
  <si>
    <t xml:space="preserve">Annual amount</t>
  </si>
  <si>
    <t xml:space="preserve">Begins at age</t>
  </si>
  <si>
    <t xml:space="preserve">Portfolio draw (level)</t>
  </si>
  <si>
    <t xml:space="preserve">Canada Pension Plan</t>
  </si>
  <si>
    <t xml:space="preserve">Old Age Security</t>
  </si>
  <si>
    <t xml:space="preserve">OAS clawback</t>
  </si>
  <si>
    <t xml:space="preserve">Net annual income</t>
  </si>
  <si>
    <t xml:space="preserve">CPP DETAIL</t>
  </si>
  <si>
    <t xml:space="preserve">Years contributing to CPP</t>
  </si>
  <si>
    <t xml:space="preserve">Percentage of max CPP earned</t>
  </si>
  <si>
    <t xml:space="preserve">Retire earlier and this drops. 39 contribution years gets 100%.</t>
  </si>
  <si>
    <t xml:space="preserve">Boost or cut from claim age</t>
  </si>
  <si>
    <t xml:space="preserve">Claim before 65 cuts; defer past 65 boosts.</t>
  </si>
  <si>
    <t xml:space="preserve">Method and caveats</t>
  </si>
  <si>
    <t xml:space="preserve">METHOD</t>
  </si>
  <si>
    <t xml:space="preserve">Income trajectory is linear from current to peak over the 'years until peak' you specify, then flat at peak for 'years held at peak', then steps down to the post-step income for the rest of the career.</t>
  </si>
  <si>
    <t xml:space="preserve">Tax uses Ontario 2026 combined federal+provincial marginal brackets. The brackets are on the Inputs tab, editable. Tax for any income X uses VLOOKUP on the cumulative-tax table.</t>
  </si>
  <si>
    <t xml:space="preserve">Saving is a fixed share of after-tax income. Portfolio grows at the real return each year (one figure, after inflation), with savings added during work years and a level draw taken during retirement.</t>
  </si>
  <si>
    <t xml:space="preserve">CPP is scaled two ways. First by contribution years: 39 years of contributions at the max earnings ceiling gets the full benefit; fewer years prorate it. Second by claim age: claim at 60 cuts to 64% of the 65 amount, claim at 70 boosts to 142%.</t>
  </si>
  <si>
    <t xml:space="preserve">OAS depends on Canadian residence, not contributions, so it is not affected by early retirement. It can only start at 65 or later, with up to 36% boost for deferring to 70.</t>
  </si>
  <si>
    <t xml:space="preserve">Sustainable income is found by treating CPP and OAS as deferred life annuities, summing their present values with the portfolio at retirement, and dividing by the annuity factor for the retirement period. This gives a level real income that depletes the combined value at lifespan.</t>
  </si>
  <si>
    <t xml:space="preserve">OAS clawback is estimated once based on the level income, and netted off the gross. The projection draws portfolio to deliver the net income each year.</t>
  </si>
  <si>
    <t xml:space="preserve">CAVEATS</t>
  </si>
  <si>
    <t xml:space="preserve">Real returns of 7% are the long-run average for stocks. A balanced portfolio with bonds runs closer to 5%. Adjust the real-return cell on the Inputs tab to test this.</t>
  </si>
  <si>
    <t xml:space="preserve">Sequence-of-returns risk is the killer this model hides. A bad first decade after you stop working can wreck a plan that looks healthy on paper. The level annuity assumption smooths over that.</t>
  </si>
  <si>
    <t xml:space="preserve">Income tax in retirement is not modelled. The level income shown is pre-tax. Whether the money sits in TFSA, RRSP, or non-registered accounts changes the bite. RRSP withdrawals are fully taxable; TFSA withdrawals are not and do not feed the OAS clawback.</t>
  </si>
  <si>
    <t xml:space="preserve">CPP claim age is assumed to be at or after retirement age. If you set it before retirement, the math still runs but the present-value discount becomes negative, which understates the value slightly.</t>
  </si>
  <si>
    <t xml:space="preserve">Tax brackets are an approximation of Ontario 2026. They are inputs you can edit on the Inputs tab if rates change.</t>
  </si>
</sst>
</file>

<file path=xl/styles.xml><?xml version="1.0" encoding="utf-8"?>
<styleSheet xmlns="http://schemas.openxmlformats.org/spreadsheetml/2006/main">
  <numFmts count="5">
    <numFmt numFmtId="164" formatCode="General"/>
    <numFmt numFmtId="165" formatCode="0"/>
    <numFmt numFmtId="166" formatCode="\$#,##0;&quot;($&quot;#,##0\);\-"/>
    <numFmt numFmtId="167" formatCode="0.0%"/>
    <numFmt numFmtId="168" formatCode="0.00"/>
  </numFmts>
  <fonts count="19">
    <font>
      <sz val="11"/>
      <color theme="1"/>
      <name val="Calibri"/>
      <family val="2"/>
      <charset val="1"/>
    </font>
    <font>
      <sz val="10"/>
      <name val="Arial"/>
      <family val="0"/>
    </font>
    <font>
      <sz val="10"/>
      <name val="Arial"/>
      <family val="0"/>
    </font>
    <font>
      <sz val="10"/>
      <name val="Arial"/>
      <family val="0"/>
    </font>
    <font>
      <b val="true"/>
      <sz val="20"/>
      <color rgb="FF1F3A5C"/>
      <name val="Calibri"/>
      <family val="0"/>
      <charset val="1"/>
    </font>
    <font>
      <i val="true"/>
      <sz val="10"/>
      <color rgb="FF555555"/>
      <name val="Calibri"/>
      <family val="0"/>
      <charset val="1"/>
    </font>
    <font>
      <sz val="10"/>
      <color rgb="FF666666"/>
      <name val="Calibri"/>
      <family val="0"/>
      <charset val="1"/>
    </font>
    <font>
      <b val="true"/>
      <sz val="12"/>
      <color rgb="FF7A1F2B"/>
      <name val="Calibri"/>
      <family val="0"/>
      <charset val="1"/>
    </font>
    <font>
      <sz val="11"/>
      <color rgb="FF1C1814"/>
      <name val="Calibri"/>
      <family val="0"/>
      <charset val="1"/>
    </font>
    <font>
      <b val="true"/>
      <sz val="11"/>
      <color rgb="FF0000FF"/>
      <name val="Calibri"/>
      <family val="0"/>
      <charset val="1"/>
    </font>
    <font>
      <i val="true"/>
      <sz val="10"/>
      <color rgb="FF888888"/>
      <name val="Calibri"/>
      <family val="0"/>
      <charset val="1"/>
    </font>
    <font>
      <sz val="11"/>
      <color rgb="FF000000"/>
      <name val="Calibri"/>
      <family val="0"/>
      <charset val="1"/>
    </font>
    <font>
      <b val="true"/>
      <sz val="10"/>
      <color rgb="FF333333"/>
      <name val="Calibri"/>
      <family val="0"/>
      <charset val="1"/>
    </font>
    <font>
      <b val="true"/>
      <sz val="11"/>
      <color rgb="FFFFFFFF"/>
      <name val="Calibri"/>
      <family val="0"/>
      <charset val="1"/>
    </font>
    <font>
      <sz val="11"/>
      <color rgb="FF008000"/>
      <name val="Calibri"/>
      <family val="0"/>
      <charset val="1"/>
    </font>
    <font>
      <b val="true"/>
      <sz val="24"/>
      <color rgb="FF7A1F2B"/>
      <name val="Calibri"/>
      <family val="0"/>
      <charset val="1"/>
    </font>
    <font>
      <i val="true"/>
      <sz val="11"/>
      <color rgb="FF7A1F2B"/>
      <name val="Calibri"/>
      <family val="0"/>
      <charset val="1"/>
    </font>
    <font>
      <b val="true"/>
      <sz val="12"/>
      <name val="Calibri"/>
      <family val="0"/>
      <charset val="1"/>
    </font>
    <font>
      <b val="true"/>
      <sz val="12"/>
      <color rgb="FF000000"/>
      <name val="Calibri"/>
      <family val="0"/>
      <charset val="1"/>
    </font>
  </fonts>
  <fills count="7">
    <fill>
      <patternFill patternType="none"/>
    </fill>
    <fill>
      <patternFill patternType="gray125"/>
    </fill>
    <fill>
      <patternFill patternType="solid">
        <fgColor rgb="FFF0EADB"/>
        <bgColor rgb="FFEAF1F8"/>
      </patternFill>
    </fill>
    <fill>
      <patternFill patternType="solid">
        <fgColor rgb="FFEAF1F8"/>
        <bgColor rgb="FFFAF6EC"/>
      </patternFill>
    </fill>
    <fill>
      <patternFill patternType="solid">
        <fgColor rgb="FFFFF8E0"/>
        <bgColor rgb="FFFAF6EC"/>
      </patternFill>
    </fill>
    <fill>
      <patternFill patternType="solid">
        <fgColor rgb="FF1F3A5C"/>
        <bgColor rgb="FF333333"/>
      </patternFill>
    </fill>
    <fill>
      <patternFill patternType="solid">
        <fgColor rgb="FFFAF6EC"/>
        <bgColor rgb="FFFFF8E0"/>
      </patternFill>
    </fill>
  </fills>
  <borders count="4">
    <border diagonalUp="false" diagonalDown="false">
      <left/>
      <right/>
      <top/>
      <bottom/>
      <diagonal/>
    </border>
    <border diagonalUp="false" diagonalDown="false">
      <left/>
      <right/>
      <top/>
      <bottom style="medium">
        <color rgb="FF1F3A5C"/>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right/>
      <top style="medium">
        <color rgb="FF1C181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3" borderId="2"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9" fillId="3" borderId="2"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9" fillId="3" borderId="2" xfId="0" applyFont="true" applyBorder="tru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7" fontId="11"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center" vertical="center" textRotation="0" wrapText="tru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4" fillId="6" borderId="2" xfId="0" applyFont="true" applyBorder="true" applyAlignment="true" applyProtection="false">
      <alignment horizontal="right" vertical="bottom" textRotation="0" wrapText="false" indent="0" shrinkToFit="false"/>
      <protection locked="true" hidden="false"/>
    </xf>
    <xf numFmtId="166" fontId="15" fillId="6" borderId="2" xfId="0" applyFont="true" applyBorder="true" applyAlignment="true" applyProtection="false">
      <alignment horizontal="right"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8" fillId="0" borderId="3"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8E0"/>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AF6EC"/>
      <rgbColor rgb="FFF0EADB"/>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1F3A5C"/>
      <rgbColor rgb="FF339966"/>
      <rgbColor rgb="FF003300"/>
      <rgbColor rgb="FF1C1814"/>
      <rgbColor rgb="FF7A1F2B"/>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4"/>
    <col collapsed="false" customWidth="true" hidden="false" outlineLevel="0" max="4" min="4" style="0" width="50"/>
  </cols>
  <sheetData>
    <row r="1" customFormat="false" ht="24.45" hidden="false" customHeight="false" outlineLevel="0" collapsed="false">
      <c r="A1" s="1" t="s">
        <v>0</v>
      </c>
      <c r="B1" s="1"/>
      <c r="C1" s="1"/>
      <c r="D1" s="1"/>
    </row>
    <row r="2" customFormat="false" ht="15" hidden="false" customHeight="false" outlineLevel="0" collapsed="false">
      <c r="A2" s="2" t="s">
        <v>1</v>
      </c>
      <c r="B2" s="2"/>
      <c r="C2" s="2"/>
      <c r="D2" s="2"/>
    </row>
    <row r="3" customFormat="false" ht="15" hidden="false" customHeight="false" outlineLevel="0" collapsed="false">
      <c r="A3" s="3" t="s">
        <v>2</v>
      </c>
      <c r="B3" s="3"/>
      <c r="C3" s="3"/>
      <c r="D3" s="3"/>
    </row>
    <row r="4" customFormat="false" ht="15" hidden="false" customHeight="false" outlineLevel="0" collapsed="false">
      <c r="A4" s="4" t="s">
        <v>3</v>
      </c>
      <c r="B4" s="5"/>
      <c r="C4" s="5"/>
      <c r="D4" s="5"/>
    </row>
    <row r="5" customFormat="false" ht="15" hidden="false" customHeight="false" outlineLevel="0" collapsed="false">
      <c r="A5" s="6" t="s">
        <v>4</v>
      </c>
      <c r="B5" s="7" t="n">
        <v>29</v>
      </c>
      <c r="C5" s="8" t="s">
        <v>5</v>
      </c>
    </row>
    <row r="6" customFormat="false" ht="15" hidden="false" customHeight="false" outlineLevel="0" collapsed="false">
      <c r="A6" s="6" t="s">
        <v>6</v>
      </c>
      <c r="B6" s="9" t="n">
        <v>400000</v>
      </c>
      <c r="C6" s="8" t="s">
        <v>7</v>
      </c>
    </row>
    <row r="7" customFormat="false" ht="15" hidden="false" customHeight="false" outlineLevel="0" collapsed="false">
      <c r="A7" s="6" t="s">
        <v>8</v>
      </c>
      <c r="B7" s="7" t="n">
        <v>22</v>
      </c>
      <c r="C7" s="8" t="s">
        <v>5</v>
      </c>
      <c r="D7" s="10" t="s">
        <v>9</v>
      </c>
    </row>
    <row r="8" customFormat="false" ht="15" hidden="false" customHeight="false" outlineLevel="0" collapsed="false">
      <c r="A8" s="6" t="s">
        <v>10</v>
      </c>
      <c r="B8" s="7" t="n">
        <v>95</v>
      </c>
      <c r="C8" s="8" t="s">
        <v>5</v>
      </c>
      <c r="D8" s="10" t="s">
        <v>11</v>
      </c>
    </row>
    <row r="10" customFormat="false" ht="15" hidden="false" customHeight="false" outlineLevel="0" collapsed="false">
      <c r="A10" s="4" t="s">
        <v>12</v>
      </c>
      <c r="B10" s="5"/>
      <c r="C10" s="5"/>
      <c r="D10" s="5"/>
    </row>
    <row r="11" customFormat="false" ht="15" hidden="false" customHeight="false" outlineLevel="0" collapsed="false">
      <c r="A11" s="6" t="s">
        <v>13</v>
      </c>
      <c r="B11" s="9" t="n">
        <v>190000</v>
      </c>
      <c r="C11" s="8" t="s">
        <v>14</v>
      </c>
    </row>
    <row r="12" customFormat="false" ht="15" hidden="false" customHeight="false" outlineLevel="0" collapsed="false">
      <c r="A12" s="6" t="s">
        <v>15</v>
      </c>
      <c r="B12" s="9" t="n">
        <v>215000</v>
      </c>
      <c r="C12" s="8" t="s">
        <v>14</v>
      </c>
    </row>
    <row r="13" customFormat="false" ht="15" hidden="false" customHeight="false" outlineLevel="0" collapsed="false">
      <c r="A13" s="6" t="s">
        <v>16</v>
      </c>
      <c r="B13" s="7" t="n">
        <v>5</v>
      </c>
      <c r="C13" s="8" t="s">
        <v>5</v>
      </c>
    </row>
    <row r="14" customFormat="false" ht="15" hidden="false" customHeight="false" outlineLevel="0" collapsed="false">
      <c r="A14" s="6" t="s">
        <v>17</v>
      </c>
      <c r="B14" s="7" t="n">
        <v>5</v>
      </c>
      <c r="C14" s="8" t="s">
        <v>5</v>
      </c>
    </row>
    <row r="15" customFormat="false" ht="15" hidden="false" customHeight="false" outlineLevel="0" collapsed="false">
      <c r="A15" s="6" t="s">
        <v>18</v>
      </c>
      <c r="B15" s="9" t="n">
        <v>130000</v>
      </c>
      <c r="C15" s="8" t="s">
        <v>14</v>
      </c>
    </row>
    <row r="16" customFormat="false" ht="15" hidden="false" customHeight="false" outlineLevel="0" collapsed="false">
      <c r="A16" s="6" t="s">
        <v>19</v>
      </c>
      <c r="B16" s="11" t="n">
        <v>0.28</v>
      </c>
      <c r="C16" s="8" t="s">
        <v>20</v>
      </c>
    </row>
    <row r="18" customFormat="false" ht="15" hidden="false" customHeight="false" outlineLevel="0" collapsed="false">
      <c r="A18" s="4" t="s">
        <v>21</v>
      </c>
      <c r="B18" s="5"/>
      <c r="C18" s="5"/>
      <c r="D18" s="5"/>
    </row>
    <row r="19" customFormat="false" ht="15" hidden="false" customHeight="false" outlineLevel="0" collapsed="false">
      <c r="A19" s="6" t="s">
        <v>22</v>
      </c>
      <c r="B19" s="11" t="n">
        <v>0.07</v>
      </c>
      <c r="C19" s="8" t="s">
        <v>23</v>
      </c>
      <c r="D19" s="10" t="s">
        <v>24</v>
      </c>
    </row>
    <row r="20" customFormat="false" ht="15" hidden="false" customHeight="false" outlineLevel="0" collapsed="false">
      <c r="A20" s="6" t="s">
        <v>25</v>
      </c>
      <c r="B20" s="7" t="n">
        <v>60</v>
      </c>
      <c r="C20" s="8" t="s">
        <v>5</v>
      </c>
      <c r="D20" s="10" t="s">
        <v>26</v>
      </c>
    </row>
    <row r="22" customFormat="false" ht="15" hidden="false" customHeight="false" outlineLevel="0" collapsed="false">
      <c r="A22" s="4" t="s">
        <v>27</v>
      </c>
      <c r="B22" s="5"/>
      <c r="C22" s="5"/>
      <c r="D22" s="5"/>
    </row>
    <row r="23" customFormat="false" ht="15" hidden="false" customHeight="false" outlineLevel="0" collapsed="false">
      <c r="A23" s="6" t="s">
        <v>28</v>
      </c>
      <c r="B23" s="7" t="n">
        <v>70</v>
      </c>
      <c r="C23" s="8" t="s">
        <v>5</v>
      </c>
      <c r="D23" s="10" t="s">
        <v>29</v>
      </c>
    </row>
    <row r="24" customFormat="false" ht="15" hidden="false" customHeight="false" outlineLevel="0" collapsed="false">
      <c r="A24" s="6" t="s">
        <v>30</v>
      </c>
      <c r="B24" s="9" t="n">
        <v>22000</v>
      </c>
      <c r="C24" s="8" t="s">
        <v>14</v>
      </c>
      <c r="D24" s="10" t="s">
        <v>31</v>
      </c>
    </row>
    <row r="25" customFormat="false" ht="15" hidden="false" customHeight="false" outlineLevel="0" collapsed="false">
      <c r="A25" s="6" t="s">
        <v>32</v>
      </c>
      <c r="B25" s="9" t="n">
        <v>9000</v>
      </c>
      <c r="C25" s="8" t="s">
        <v>14</v>
      </c>
    </row>
    <row r="26" customFormat="false" ht="15" hidden="false" customHeight="false" outlineLevel="0" collapsed="false">
      <c r="A26" s="6" t="s">
        <v>33</v>
      </c>
      <c r="B26" s="9" t="n">
        <v>93000</v>
      </c>
      <c r="C26" s="8" t="s">
        <v>14</v>
      </c>
      <c r="D26" s="10" t="s">
        <v>34</v>
      </c>
    </row>
    <row r="28" customFormat="false" ht="15" hidden="false" customHeight="false" outlineLevel="0" collapsed="false">
      <c r="A28" s="4" t="s">
        <v>35</v>
      </c>
      <c r="B28" s="5"/>
      <c r="C28" s="5"/>
      <c r="D28" s="5"/>
    </row>
    <row r="29" customFormat="false" ht="15" hidden="false" customHeight="false" outlineLevel="0" collapsed="false">
      <c r="A29" s="6" t="s">
        <v>36</v>
      </c>
      <c r="B29" s="12" t="n">
        <f aca="false">B20-B7</f>
        <v>38</v>
      </c>
      <c r="C29" s="8" t="s">
        <v>5</v>
      </c>
    </row>
    <row r="30" customFormat="false" ht="15" hidden="false" customHeight="false" outlineLevel="0" collapsed="false">
      <c r="A30" s="6" t="s">
        <v>37</v>
      </c>
      <c r="B30" s="13" t="n">
        <f aca="false">MIN(1, B29/39)</f>
        <v>0.974358974358974</v>
      </c>
      <c r="C30" s="8" t="s">
        <v>38</v>
      </c>
      <c r="D30" s="10" t="s">
        <v>39</v>
      </c>
    </row>
    <row r="31" customFormat="false" ht="15" hidden="false" customHeight="false" outlineLevel="0" collapsed="false">
      <c r="A31" s="6" t="s">
        <v>40</v>
      </c>
      <c r="B31" s="13" t="n">
        <f aca="false">IF(B23&lt;65, MAX(0.5, 1-(65-B23)*0.072), MIN(1.42, 1+(B23-65)*0.084))</f>
        <v>1.42</v>
      </c>
      <c r="C31" s="8"/>
      <c r="D31" s="10" t="s">
        <v>41</v>
      </c>
    </row>
    <row r="32" customFormat="false" ht="15" hidden="false" customHeight="false" outlineLevel="0" collapsed="false">
      <c r="A32" s="6" t="s">
        <v>42</v>
      </c>
      <c r="B32" s="14" t="n">
        <f aca="false">B24*B30*B31</f>
        <v>30438.9743589744</v>
      </c>
      <c r="C32" s="8" t="s">
        <v>14</v>
      </c>
    </row>
    <row r="33" customFormat="false" ht="15" hidden="false" customHeight="false" outlineLevel="0" collapsed="false">
      <c r="A33" s="6" t="s">
        <v>43</v>
      </c>
      <c r="B33" s="12" t="n">
        <f aca="false">MAX(65, MIN(70, B20))</f>
        <v>65</v>
      </c>
      <c r="C33" s="8" t="s">
        <v>5</v>
      </c>
      <c r="D33" s="10" t="s">
        <v>44</v>
      </c>
    </row>
    <row r="34" customFormat="false" ht="15" hidden="false" customHeight="false" outlineLevel="0" collapsed="false">
      <c r="A34" s="6" t="s">
        <v>45</v>
      </c>
      <c r="B34" s="13" t="n">
        <f aca="false">1+MAX(0,B33-65)*0.072</f>
        <v>1</v>
      </c>
      <c r="C34" s="8"/>
      <c r="D34" s="10" t="s">
        <v>46</v>
      </c>
    </row>
    <row r="35" customFormat="false" ht="15" hidden="false" customHeight="false" outlineLevel="0" collapsed="false">
      <c r="A35" s="6" t="s">
        <v>47</v>
      </c>
      <c r="B35" s="14" t="n">
        <f aca="false">B25*B34</f>
        <v>9000</v>
      </c>
      <c r="C35" s="8" t="s">
        <v>14</v>
      </c>
    </row>
    <row r="37" customFormat="false" ht="15" hidden="false" customHeight="false" outlineLevel="0" collapsed="false">
      <c r="A37" s="4" t="s">
        <v>48</v>
      </c>
      <c r="B37" s="5"/>
      <c r="C37" s="5"/>
      <c r="D37" s="5"/>
    </row>
    <row r="38" customFormat="false" ht="15" hidden="false" customHeight="false" outlineLevel="0" collapsed="false">
      <c r="A38" s="15" t="s">
        <v>49</v>
      </c>
      <c r="B38" s="15" t="s">
        <v>50</v>
      </c>
      <c r="C38" s="15" t="s">
        <v>51</v>
      </c>
    </row>
    <row r="39" customFormat="false" ht="15" hidden="false" customHeight="false" outlineLevel="0" collapsed="false">
      <c r="A39" s="16" t="n">
        <v>0</v>
      </c>
      <c r="B39" s="17" t="n">
        <v>0</v>
      </c>
      <c r="C39" s="18" t="n">
        <v>0</v>
      </c>
    </row>
    <row r="40" customFormat="false" ht="15" hidden="false" customHeight="false" outlineLevel="0" collapsed="false">
      <c r="A40" s="16" t="n">
        <v>15000</v>
      </c>
      <c r="B40" s="17" t="n">
        <v>0.2005</v>
      </c>
      <c r="C40" s="18" t="n">
        <f aca="false">C39+B39*(A40-A39)</f>
        <v>0</v>
      </c>
    </row>
    <row r="41" customFormat="false" ht="15" hidden="false" customHeight="false" outlineLevel="0" collapsed="false">
      <c r="A41" s="16" t="n">
        <v>53359</v>
      </c>
      <c r="B41" s="17" t="n">
        <v>0.2965</v>
      </c>
      <c r="C41" s="18" t="n">
        <f aca="false">C40+B40*(A41-A40)</f>
        <v>7690.9795</v>
      </c>
    </row>
    <row r="42" customFormat="false" ht="15" hidden="false" customHeight="false" outlineLevel="0" collapsed="false">
      <c r="A42" s="16" t="n">
        <v>90599</v>
      </c>
      <c r="B42" s="17" t="n">
        <v>0.3148</v>
      </c>
      <c r="C42" s="18" t="n">
        <f aca="false">C41+B41*(A42-A41)</f>
        <v>18732.6395</v>
      </c>
    </row>
    <row r="43" customFormat="false" ht="15" hidden="false" customHeight="false" outlineLevel="0" collapsed="false">
      <c r="A43" s="16" t="n">
        <v>106717</v>
      </c>
      <c r="B43" s="17" t="n">
        <v>0.3389</v>
      </c>
      <c r="C43" s="18" t="n">
        <f aca="false">C42+B42*(A43-A42)</f>
        <v>23806.5859</v>
      </c>
    </row>
    <row r="44" customFormat="false" ht="15" hidden="false" customHeight="false" outlineLevel="0" collapsed="false">
      <c r="A44" s="16" t="n">
        <v>111733</v>
      </c>
      <c r="B44" s="17" t="n">
        <v>0.3791</v>
      </c>
      <c r="C44" s="18" t="n">
        <f aca="false">C43+B43*(A44-A43)</f>
        <v>25506.5083</v>
      </c>
    </row>
    <row r="45" customFormat="false" ht="15" hidden="false" customHeight="false" outlineLevel="0" collapsed="false">
      <c r="A45" s="16" t="n">
        <v>150000</v>
      </c>
      <c r="B45" s="17" t="n">
        <v>0.4341</v>
      </c>
      <c r="C45" s="18" t="n">
        <f aca="false">C44+B44*(A45-A44)</f>
        <v>40013.528</v>
      </c>
    </row>
    <row r="46" customFormat="false" ht="15" hidden="false" customHeight="false" outlineLevel="0" collapsed="false">
      <c r="A46" s="16" t="n">
        <v>173205</v>
      </c>
      <c r="B46" s="17" t="n">
        <v>0.4497</v>
      </c>
      <c r="C46" s="18" t="n">
        <f aca="false">C45+B45*(A46-A45)</f>
        <v>50086.8185</v>
      </c>
    </row>
    <row r="47" customFormat="false" ht="15" hidden="false" customHeight="false" outlineLevel="0" collapsed="false">
      <c r="A47" s="16" t="n">
        <v>220000</v>
      </c>
      <c r="B47" s="17" t="n">
        <v>0.4829</v>
      </c>
      <c r="C47" s="18" t="n">
        <f aca="false">C46+B46*(A47-A46)</f>
        <v>71130.53</v>
      </c>
    </row>
    <row r="48" customFormat="false" ht="15" hidden="false" customHeight="false" outlineLevel="0" collapsed="false">
      <c r="A48" s="16" t="n">
        <v>246752</v>
      </c>
      <c r="B48" s="17" t="n">
        <v>0.5353</v>
      </c>
      <c r="C48" s="18" t="n">
        <f aca="false">C47+B47*(A48-A47)</f>
        <v>84049.0708</v>
      </c>
    </row>
  </sheetData>
  <mergeCells count="3">
    <mergeCell ref="A1:D1"/>
    <mergeCell ref="A2:D2"/>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14" min="2" style="0" width="14"/>
  </cols>
  <sheetData>
    <row r="1" customFormat="false" ht="31.5" hidden="false" customHeight="true" outlineLevel="0" collapsed="false">
      <c r="A1" s="19" t="s">
        <v>52</v>
      </c>
      <c r="B1" s="19" t="s">
        <v>53</v>
      </c>
      <c r="C1" s="19" t="s">
        <v>54</v>
      </c>
      <c r="D1" s="19" t="s">
        <v>55</v>
      </c>
      <c r="E1" s="19" t="s">
        <v>56</v>
      </c>
      <c r="F1" s="19" t="s">
        <v>57</v>
      </c>
      <c r="G1" s="19" t="s">
        <v>58</v>
      </c>
      <c r="H1" s="19" t="s">
        <v>59</v>
      </c>
      <c r="I1" s="19" t="s">
        <v>60</v>
      </c>
      <c r="J1" s="19" t="s">
        <v>61</v>
      </c>
      <c r="K1" s="19" t="s">
        <v>62</v>
      </c>
      <c r="L1" s="19" t="s">
        <v>63</v>
      </c>
      <c r="M1" s="19" t="s">
        <v>64</v>
      </c>
      <c r="N1" s="19" t="s">
        <v>65</v>
      </c>
    </row>
    <row r="2" customFormat="false" ht="15" hidden="false" customHeight="false" outlineLevel="0" collapsed="false">
      <c r="A2" s="20" t="n">
        <f aca="false">Inputs!$B$5</f>
        <v>29</v>
      </c>
      <c r="B2" s="21" t="str">
        <f aca="false">IF(A2&lt;Inputs!$B$20,"work",IF(A2&lt;Inputs!$B$8,"retire","—"))</f>
        <v>work</v>
      </c>
      <c r="C2" s="18" t="n">
        <f aca="false">IF(B2&lt;&gt;"work",0,IF(A2-Inputs!$B$5&lt;Inputs!$B$13,Inputs!$B$11+(Inputs!$B$12-Inputs!$B$11)*(A2-Inputs!$B$5)/Inputs!$B$13,IF(A2-Inputs!$B$5&lt;Inputs!$B$13+Inputs!$B$14,Inputs!$B$12,Inputs!$B$15)))</f>
        <v>190000</v>
      </c>
      <c r="D2" s="18" t="n">
        <f aca="false">IF(C2&lt;=0,0,VLOOKUP(C2,Inputs!$A$39:$C$48,3,TRUE())+(C2-VLOOKUP(C2,Inputs!$A$39:$C$48,1,TRUE()))*VLOOKUP(C2,Inputs!$A$39:$C$48,2,TRUE()))</f>
        <v>57639.53</v>
      </c>
      <c r="E2" s="18" t="n">
        <f aca="false">C2-D2</f>
        <v>132360.47</v>
      </c>
      <c r="F2" s="18" t="n">
        <f aca="false">IF(B2="work",E2*Inputs!$B$16,0)</f>
        <v>37060.9316</v>
      </c>
      <c r="G2" s="22" t="n">
        <f aca="false">Inputs!$B$6</f>
        <v>400000</v>
      </c>
      <c r="H2" s="18" t="n">
        <f aca="false">IF(A2&gt;Inputs!$B$8,0,G2*Inputs!$B$19)</f>
        <v>28000</v>
      </c>
      <c r="I2" s="18" t="n">
        <f aca="false">IF(B2="work",F2,0)</f>
        <v>37060.9316</v>
      </c>
      <c r="J2" s="18" t="n">
        <f aca="false">IF(AND(A2&gt;=Inputs!$B$23,A2&lt;Inputs!$B$8),Inputs!$B$32,0)</f>
        <v>0</v>
      </c>
      <c r="K2" s="18" t="n">
        <f aca="false">IF(AND(A2&gt;=Inputs!$B$33,A2&lt;Inputs!$B$8),Inputs!$B$35,0)</f>
        <v>0</v>
      </c>
      <c r="L2" s="18" t="n">
        <f aca="false">IF(B2="retire",Summary!$B$11-J2-K2,0)</f>
        <v>0</v>
      </c>
      <c r="M2" s="18" t="n">
        <f aca="false">IF(B2="work",E2,IF(B2="retire",J2+K2+L2,0))</f>
        <v>132360.47</v>
      </c>
      <c r="N2" s="18" t="n">
        <f aca="false">IF(A2&gt;=Inputs!$B$8,0,G2*(1+Inputs!$B$19)+I2-L2)</f>
        <v>465060.9316</v>
      </c>
    </row>
    <row r="3" customFormat="false" ht="15" hidden="false" customHeight="false" outlineLevel="0" collapsed="false">
      <c r="A3" s="23" t="n">
        <f aca="false">A2+1</f>
        <v>30</v>
      </c>
      <c r="B3" s="21" t="str">
        <f aca="false">IF(A3&lt;Inputs!$B$20,"work",IF(A3&lt;Inputs!$B$8,"retire","—"))</f>
        <v>work</v>
      </c>
      <c r="C3" s="18" t="n">
        <f aca="false">IF(B3&lt;&gt;"work",0,IF(A3-Inputs!$B$5&lt;Inputs!$B$13,Inputs!$B$11+(Inputs!$B$12-Inputs!$B$11)*(A3-Inputs!$B$5)/Inputs!$B$13,IF(A3-Inputs!$B$5&lt;Inputs!$B$13+Inputs!$B$14,Inputs!$B$12,Inputs!$B$15)))</f>
        <v>195000</v>
      </c>
      <c r="D3" s="18" t="n">
        <f aca="false">IF(C3&lt;=0,0,VLOOKUP(C3,Inputs!$A$39:$C$48,3,TRUE())+(C3-VLOOKUP(C3,Inputs!$A$39:$C$48,1,TRUE()))*VLOOKUP(C3,Inputs!$A$39:$C$48,2,TRUE()))</f>
        <v>59888.03</v>
      </c>
      <c r="E3" s="18" t="n">
        <f aca="false">C3-D3</f>
        <v>135111.97</v>
      </c>
      <c r="F3" s="18" t="n">
        <f aca="false">IF(B3="work",E3*Inputs!$B$16,0)</f>
        <v>37831.3516</v>
      </c>
      <c r="G3" s="18" t="n">
        <f aca="false">N2</f>
        <v>465060.9316</v>
      </c>
      <c r="H3" s="18" t="n">
        <f aca="false">IF(A3&gt;Inputs!$B$8,0,G3*Inputs!$B$19)</f>
        <v>32554.265212</v>
      </c>
      <c r="I3" s="18" t="n">
        <f aca="false">IF(B3="work",F3,0)</f>
        <v>37831.3516</v>
      </c>
      <c r="J3" s="18" t="n">
        <f aca="false">IF(AND(A3&gt;=Inputs!$B$23,A3&lt;Inputs!$B$8),Inputs!$B$32,0)</f>
        <v>0</v>
      </c>
      <c r="K3" s="18" t="n">
        <f aca="false">IF(AND(A3&gt;=Inputs!$B$33,A3&lt;Inputs!$B$8),Inputs!$B$35,0)</f>
        <v>0</v>
      </c>
      <c r="L3" s="18" t="n">
        <f aca="false">IF(B3="retire",Summary!$B$11-J3-K3,0)</f>
        <v>0</v>
      </c>
      <c r="M3" s="18" t="n">
        <f aca="false">IF(B3="work",E3,IF(B3="retire",J3+K3+L3,0))</f>
        <v>135111.97</v>
      </c>
      <c r="N3" s="18" t="n">
        <f aca="false">IF(A3&gt;=Inputs!$B$8,0,G3*(1+Inputs!$B$19)+I3-L3)</f>
        <v>535446.548412</v>
      </c>
    </row>
    <row r="4" customFormat="false" ht="15" hidden="false" customHeight="false" outlineLevel="0" collapsed="false">
      <c r="A4" s="23" t="n">
        <f aca="false">A3+1</f>
        <v>31</v>
      </c>
      <c r="B4" s="21" t="str">
        <f aca="false">IF(A4&lt;Inputs!$B$20,"work",IF(A4&lt;Inputs!$B$8,"retire","—"))</f>
        <v>work</v>
      </c>
      <c r="C4" s="18" t="n">
        <f aca="false">IF(B4&lt;&gt;"work",0,IF(A4-Inputs!$B$5&lt;Inputs!$B$13,Inputs!$B$11+(Inputs!$B$12-Inputs!$B$11)*(A4-Inputs!$B$5)/Inputs!$B$13,IF(A4-Inputs!$B$5&lt;Inputs!$B$13+Inputs!$B$14,Inputs!$B$12,Inputs!$B$15)))</f>
        <v>200000</v>
      </c>
      <c r="D4" s="18" t="n">
        <f aca="false">IF(C4&lt;=0,0,VLOOKUP(C4,Inputs!$A$39:$C$48,3,TRUE())+(C4-VLOOKUP(C4,Inputs!$A$39:$C$48,1,TRUE()))*VLOOKUP(C4,Inputs!$A$39:$C$48,2,TRUE()))</f>
        <v>62136.53</v>
      </c>
      <c r="E4" s="18" t="n">
        <f aca="false">C4-D4</f>
        <v>137863.47</v>
      </c>
      <c r="F4" s="18" t="n">
        <f aca="false">IF(B4="work",E4*Inputs!$B$16,0)</f>
        <v>38601.7716</v>
      </c>
      <c r="G4" s="18" t="n">
        <f aca="false">N3</f>
        <v>535446.548412</v>
      </c>
      <c r="H4" s="18" t="n">
        <f aca="false">IF(A4&gt;Inputs!$B$8,0,G4*Inputs!$B$19)</f>
        <v>37481.25838884</v>
      </c>
      <c r="I4" s="18" t="n">
        <f aca="false">IF(B4="work",F4,0)</f>
        <v>38601.7716</v>
      </c>
      <c r="J4" s="18" t="n">
        <f aca="false">IF(AND(A4&gt;=Inputs!$B$23,A4&lt;Inputs!$B$8),Inputs!$B$32,0)</f>
        <v>0</v>
      </c>
      <c r="K4" s="18" t="n">
        <f aca="false">IF(AND(A4&gt;=Inputs!$B$33,A4&lt;Inputs!$B$8),Inputs!$B$35,0)</f>
        <v>0</v>
      </c>
      <c r="L4" s="18" t="n">
        <f aca="false">IF(B4="retire",Summary!$B$11-J4-K4,0)</f>
        <v>0</v>
      </c>
      <c r="M4" s="18" t="n">
        <f aca="false">IF(B4="work",E4,IF(B4="retire",J4+K4+L4,0))</f>
        <v>137863.47</v>
      </c>
      <c r="N4" s="18" t="n">
        <f aca="false">IF(A4&gt;=Inputs!$B$8,0,G4*(1+Inputs!$B$19)+I4-L4)</f>
        <v>611529.57840084</v>
      </c>
    </row>
    <row r="5" customFormat="false" ht="15" hidden="false" customHeight="false" outlineLevel="0" collapsed="false">
      <c r="A5" s="23" t="n">
        <f aca="false">A4+1</f>
        <v>32</v>
      </c>
      <c r="B5" s="21" t="str">
        <f aca="false">IF(A5&lt;Inputs!$B$20,"work",IF(A5&lt;Inputs!$B$8,"retire","—"))</f>
        <v>work</v>
      </c>
      <c r="C5" s="18" t="n">
        <f aca="false">IF(B5&lt;&gt;"work",0,IF(A5-Inputs!$B$5&lt;Inputs!$B$13,Inputs!$B$11+(Inputs!$B$12-Inputs!$B$11)*(A5-Inputs!$B$5)/Inputs!$B$13,IF(A5-Inputs!$B$5&lt;Inputs!$B$13+Inputs!$B$14,Inputs!$B$12,Inputs!$B$15)))</f>
        <v>205000</v>
      </c>
      <c r="D5" s="18" t="n">
        <f aca="false">IF(C5&lt;=0,0,VLOOKUP(C5,Inputs!$A$39:$C$48,3,TRUE())+(C5-VLOOKUP(C5,Inputs!$A$39:$C$48,1,TRUE()))*VLOOKUP(C5,Inputs!$A$39:$C$48,2,TRUE()))</f>
        <v>64385.03</v>
      </c>
      <c r="E5" s="18" t="n">
        <f aca="false">C5-D5</f>
        <v>140614.97</v>
      </c>
      <c r="F5" s="18" t="n">
        <f aca="false">IF(B5="work",E5*Inputs!$B$16,0)</f>
        <v>39372.1916</v>
      </c>
      <c r="G5" s="18" t="n">
        <f aca="false">N4</f>
        <v>611529.57840084</v>
      </c>
      <c r="H5" s="18" t="n">
        <f aca="false">IF(A5&gt;Inputs!$B$8,0,G5*Inputs!$B$19)</f>
        <v>42807.0704880588</v>
      </c>
      <c r="I5" s="18" t="n">
        <f aca="false">IF(B5="work",F5,0)</f>
        <v>39372.1916</v>
      </c>
      <c r="J5" s="18" t="n">
        <f aca="false">IF(AND(A5&gt;=Inputs!$B$23,A5&lt;Inputs!$B$8),Inputs!$B$32,0)</f>
        <v>0</v>
      </c>
      <c r="K5" s="18" t="n">
        <f aca="false">IF(AND(A5&gt;=Inputs!$B$33,A5&lt;Inputs!$B$8),Inputs!$B$35,0)</f>
        <v>0</v>
      </c>
      <c r="L5" s="18" t="n">
        <f aca="false">IF(B5="retire",Summary!$B$11-J5-K5,0)</f>
        <v>0</v>
      </c>
      <c r="M5" s="18" t="n">
        <f aca="false">IF(B5="work",E5,IF(B5="retire",J5+K5+L5,0))</f>
        <v>140614.97</v>
      </c>
      <c r="N5" s="18" t="n">
        <f aca="false">IF(A5&gt;=Inputs!$B$8,0,G5*(1+Inputs!$B$19)+I5-L5)</f>
        <v>693708.840488899</v>
      </c>
    </row>
    <row r="6" customFormat="false" ht="15" hidden="false" customHeight="false" outlineLevel="0" collapsed="false">
      <c r="A6" s="23" t="n">
        <f aca="false">A5+1</f>
        <v>33</v>
      </c>
      <c r="B6" s="21" t="str">
        <f aca="false">IF(A6&lt;Inputs!$B$20,"work",IF(A6&lt;Inputs!$B$8,"retire","—"))</f>
        <v>work</v>
      </c>
      <c r="C6" s="18" t="n">
        <f aca="false">IF(B6&lt;&gt;"work",0,IF(A6-Inputs!$B$5&lt;Inputs!$B$13,Inputs!$B$11+(Inputs!$B$12-Inputs!$B$11)*(A6-Inputs!$B$5)/Inputs!$B$13,IF(A6-Inputs!$B$5&lt;Inputs!$B$13+Inputs!$B$14,Inputs!$B$12,Inputs!$B$15)))</f>
        <v>210000</v>
      </c>
      <c r="D6" s="18" t="n">
        <f aca="false">IF(C6&lt;=0,0,VLOOKUP(C6,Inputs!$A$39:$C$48,3,TRUE())+(C6-VLOOKUP(C6,Inputs!$A$39:$C$48,1,TRUE()))*VLOOKUP(C6,Inputs!$A$39:$C$48,2,TRUE()))</f>
        <v>66633.53</v>
      </c>
      <c r="E6" s="18" t="n">
        <f aca="false">C6-D6</f>
        <v>143366.47</v>
      </c>
      <c r="F6" s="18" t="n">
        <f aca="false">IF(B6="work",E6*Inputs!$B$16,0)</f>
        <v>40142.6116</v>
      </c>
      <c r="G6" s="18" t="n">
        <f aca="false">N5</f>
        <v>693708.840488899</v>
      </c>
      <c r="H6" s="18" t="n">
        <f aca="false">IF(A6&gt;Inputs!$B$8,0,G6*Inputs!$B$19)</f>
        <v>48559.6188342229</v>
      </c>
      <c r="I6" s="18" t="n">
        <f aca="false">IF(B6="work",F6,0)</f>
        <v>40142.6116</v>
      </c>
      <c r="J6" s="18" t="n">
        <f aca="false">IF(AND(A6&gt;=Inputs!$B$23,A6&lt;Inputs!$B$8),Inputs!$B$32,0)</f>
        <v>0</v>
      </c>
      <c r="K6" s="18" t="n">
        <f aca="false">IF(AND(A6&gt;=Inputs!$B$33,A6&lt;Inputs!$B$8),Inputs!$B$35,0)</f>
        <v>0</v>
      </c>
      <c r="L6" s="18" t="n">
        <f aca="false">IF(B6="retire",Summary!$B$11-J6-K6,0)</f>
        <v>0</v>
      </c>
      <c r="M6" s="18" t="n">
        <f aca="false">IF(B6="work",E6,IF(B6="retire",J6+K6+L6,0))</f>
        <v>143366.47</v>
      </c>
      <c r="N6" s="18" t="n">
        <f aca="false">IF(A6&gt;=Inputs!$B$8,0,G6*(1+Inputs!$B$19)+I6-L6)</f>
        <v>782411.070923122</v>
      </c>
    </row>
    <row r="7" customFormat="false" ht="15" hidden="false" customHeight="false" outlineLevel="0" collapsed="false">
      <c r="A7" s="23" t="n">
        <f aca="false">A6+1</f>
        <v>34</v>
      </c>
      <c r="B7" s="21" t="str">
        <f aca="false">IF(A7&lt;Inputs!$B$20,"work",IF(A7&lt;Inputs!$B$8,"retire","—"))</f>
        <v>work</v>
      </c>
      <c r="C7" s="18" t="n">
        <f aca="false">IF(B7&lt;&gt;"work",0,IF(A7-Inputs!$B$5&lt;Inputs!$B$13,Inputs!$B$11+(Inputs!$B$12-Inputs!$B$11)*(A7-Inputs!$B$5)/Inputs!$B$13,IF(A7-Inputs!$B$5&lt;Inputs!$B$13+Inputs!$B$14,Inputs!$B$12,Inputs!$B$15)))</f>
        <v>215000</v>
      </c>
      <c r="D7" s="18" t="n">
        <f aca="false">IF(C7&lt;=0,0,VLOOKUP(C7,Inputs!$A$39:$C$48,3,TRUE())+(C7-VLOOKUP(C7,Inputs!$A$39:$C$48,1,TRUE()))*VLOOKUP(C7,Inputs!$A$39:$C$48,2,TRUE()))</f>
        <v>68882.03</v>
      </c>
      <c r="E7" s="18" t="n">
        <f aca="false">C7-D7</f>
        <v>146117.97</v>
      </c>
      <c r="F7" s="18" t="n">
        <f aca="false">IF(B7="work",E7*Inputs!$B$16,0)</f>
        <v>40913.0316</v>
      </c>
      <c r="G7" s="18" t="n">
        <f aca="false">N6</f>
        <v>782411.070923122</v>
      </c>
      <c r="H7" s="18" t="n">
        <f aca="false">IF(A7&gt;Inputs!$B$8,0,G7*Inputs!$B$19)</f>
        <v>54768.7749646185</v>
      </c>
      <c r="I7" s="18" t="n">
        <f aca="false">IF(B7="work",F7,0)</f>
        <v>40913.0316</v>
      </c>
      <c r="J7" s="18" t="n">
        <f aca="false">IF(AND(A7&gt;=Inputs!$B$23,A7&lt;Inputs!$B$8),Inputs!$B$32,0)</f>
        <v>0</v>
      </c>
      <c r="K7" s="18" t="n">
        <f aca="false">IF(AND(A7&gt;=Inputs!$B$33,A7&lt;Inputs!$B$8),Inputs!$B$35,0)</f>
        <v>0</v>
      </c>
      <c r="L7" s="18" t="n">
        <f aca="false">IF(B7="retire",Summary!$B$11-J7-K7,0)</f>
        <v>0</v>
      </c>
      <c r="M7" s="18" t="n">
        <f aca="false">IF(B7="work",E7,IF(B7="retire",J7+K7+L7,0))</f>
        <v>146117.97</v>
      </c>
      <c r="N7" s="18" t="n">
        <f aca="false">IF(A7&gt;=Inputs!$B$8,0,G7*(1+Inputs!$B$19)+I7-L7)</f>
        <v>878092.877487741</v>
      </c>
    </row>
    <row r="8" customFormat="false" ht="15" hidden="false" customHeight="false" outlineLevel="0" collapsed="false">
      <c r="A8" s="23" t="n">
        <f aca="false">A7+1</f>
        <v>35</v>
      </c>
      <c r="B8" s="21" t="str">
        <f aca="false">IF(A8&lt;Inputs!$B$20,"work",IF(A8&lt;Inputs!$B$8,"retire","—"))</f>
        <v>work</v>
      </c>
      <c r="C8" s="18" t="n">
        <f aca="false">IF(B8&lt;&gt;"work",0,IF(A8-Inputs!$B$5&lt;Inputs!$B$13,Inputs!$B$11+(Inputs!$B$12-Inputs!$B$11)*(A8-Inputs!$B$5)/Inputs!$B$13,IF(A8-Inputs!$B$5&lt;Inputs!$B$13+Inputs!$B$14,Inputs!$B$12,Inputs!$B$15)))</f>
        <v>215000</v>
      </c>
      <c r="D8" s="18" t="n">
        <f aca="false">IF(C8&lt;=0,0,VLOOKUP(C8,Inputs!$A$39:$C$48,3,TRUE())+(C8-VLOOKUP(C8,Inputs!$A$39:$C$48,1,TRUE()))*VLOOKUP(C8,Inputs!$A$39:$C$48,2,TRUE()))</f>
        <v>68882.03</v>
      </c>
      <c r="E8" s="18" t="n">
        <f aca="false">C8-D8</f>
        <v>146117.97</v>
      </c>
      <c r="F8" s="18" t="n">
        <f aca="false">IF(B8="work",E8*Inputs!$B$16,0)</f>
        <v>40913.0316</v>
      </c>
      <c r="G8" s="18" t="n">
        <f aca="false">N7</f>
        <v>878092.877487741</v>
      </c>
      <c r="H8" s="18" t="n">
        <f aca="false">IF(A8&gt;Inputs!$B$8,0,G8*Inputs!$B$19)</f>
        <v>61466.5014241418</v>
      </c>
      <c r="I8" s="18" t="n">
        <f aca="false">IF(B8="work",F8,0)</f>
        <v>40913.0316</v>
      </c>
      <c r="J8" s="18" t="n">
        <f aca="false">IF(AND(A8&gt;=Inputs!$B$23,A8&lt;Inputs!$B$8),Inputs!$B$32,0)</f>
        <v>0</v>
      </c>
      <c r="K8" s="18" t="n">
        <f aca="false">IF(AND(A8&gt;=Inputs!$B$33,A8&lt;Inputs!$B$8),Inputs!$B$35,0)</f>
        <v>0</v>
      </c>
      <c r="L8" s="18" t="n">
        <f aca="false">IF(B8="retire",Summary!$B$11-J8-K8,0)</f>
        <v>0</v>
      </c>
      <c r="M8" s="18" t="n">
        <f aca="false">IF(B8="work",E8,IF(B8="retire",J8+K8+L8,0))</f>
        <v>146117.97</v>
      </c>
      <c r="N8" s="18" t="n">
        <f aca="false">IF(A8&gt;=Inputs!$B$8,0,G8*(1+Inputs!$B$19)+I8-L8)</f>
        <v>980472.410511882</v>
      </c>
    </row>
    <row r="9" customFormat="false" ht="15" hidden="false" customHeight="false" outlineLevel="0" collapsed="false">
      <c r="A9" s="23" t="n">
        <f aca="false">A8+1</f>
        <v>36</v>
      </c>
      <c r="B9" s="21" t="str">
        <f aca="false">IF(A9&lt;Inputs!$B$20,"work",IF(A9&lt;Inputs!$B$8,"retire","—"))</f>
        <v>work</v>
      </c>
      <c r="C9" s="18" t="n">
        <f aca="false">IF(B9&lt;&gt;"work",0,IF(A9-Inputs!$B$5&lt;Inputs!$B$13,Inputs!$B$11+(Inputs!$B$12-Inputs!$B$11)*(A9-Inputs!$B$5)/Inputs!$B$13,IF(A9-Inputs!$B$5&lt;Inputs!$B$13+Inputs!$B$14,Inputs!$B$12,Inputs!$B$15)))</f>
        <v>215000</v>
      </c>
      <c r="D9" s="18" t="n">
        <f aca="false">IF(C9&lt;=0,0,VLOOKUP(C9,Inputs!$A$39:$C$48,3,TRUE())+(C9-VLOOKUP(C9,Inputs!$A$39:$C$48,1,TRUE()))*VLOOKUP(C9,Inputs!$A$39:$C$48,2,TRUE()))</f>
        <v>68882.03</v>
      </c>
      <c r="E9" s="18" t="n">
        <f aca="false">C9-D9</f>
        <v>146117.97</v>
      </c>
      <c r="F9" s="18" t="n">
        <f aca="false">IF(B9="work",E9*Inputs!$B$16,0)</f>
        <v>40913.0316</v>
      </c>
      <c r="G9" s="18" t="n">
        <f aca="false">N8</f>
        <v>980472.410511882</v>
      </c>
      <c r="H9" s="18" t="n">
        <f aca="false">IF(A9&gt;Inputs!$B$8,0,G9*Inputs!$B$19)</f>
        <v>68633.0687358318</v>
      </c>
      <c r="I9" s="18" t="n">
        <f aca="false">IF(B9="work",F9,0)</f>
        <v>40913.0316</v>
      </c>
      <c r="J9" s="18" t="n">
        <f aca="false">IF(AND(A9&gt;=Inputs!$B$23,A9&lt;Inputs!$B$8),Inputs!$B$32,0)</f>
        <v>0</v>
      </c>
      <c r="K9" s="18" t="n">
        <f aca="false">IF(AND(A9&gt;=Inputs!$B$33,A9&lt;Inputs!$B$8),Inputs!$B$35,0)</f>
        <v>0</v>
      </c>
      <c r="L9" s="18" t="n">
        <f aca="false">IF(B9="retire",Summary!$B$11-J9-K9,0)</f>
        <v>0</v>
      </c>
      <c r="M9" s="18" t="n">
        <f aca="false">IF(B9="work",E9,IF(B9="retire",J9+K9+L9,0))</f>
        <v>146117.97</v>
      </c>
      <c r="N9" s="18" t="n">
        <f aca="false">IF(A9&gt;=Inputs!$B$8,0,G9*(1+Inputs!$B$19)+I9-L9)</f>
        <v>1090018.51084771</v>
      </c>
    </row>
    <row r="10" customFormat="false" ht="15" hidden="false" customHeight="false" outlineLevel="0" collapsed="false">
      <c r="A10" s="23" t="n">
        <f aca="false">A9+1</f>
        <v>37</v>
      </c>
      <c r="B10" s="21" t="str">
        <f aca="false">IF(A10&lt;Inputs!$B$20,"work",IF(A10&lt;Inputs!$B$8,"retire","—"))</f>
        <v>work</v>
      </c>
      <c r="C10" s="18" t="n">
        <f aca="false">IF(B10&lt;&gt;"work",0,IF(A10-Inputs!$B$5&lt;Inputs!$B$13,Inputs!$B$11+(Inputs!$B$12-Inputs!$B$11)*(A10-Inputs!$B$5)/Inputs!$B$13,IF(A10-Inputs!$B$5&lt;Inputs!$B$13+Inputs!$B$14,Inputs!$B$12,Inputs!$B$15)))</f>
        <v>215000</v>
      </c>
      <c r="D10" s="18" t="n">
        <f aca="false">IF(C10&lt;=0,0,VLOOKUP(C10,Inputs!$A$39:$C$48,3,TRUE())+(C10-VLOOKUP(C10,Inputs!$A$39:$C$48,1,TRUE()))*VLOOKUP(C10,Inputs!$A$39:$C$48,2,TRUE()))</f>
        <v>68882.03</v>
      </c>
      <c r="E10" s="18" t="n">
        <f aca="false">C10-D10</f>
        <v>146117.97</v>
      </c>
      <c r="F10" s="18" t="n">
        <f aca="false">IF(B10="work",E10*Inputs!$B$16,0)</f>
        <v>40913.0316</v>
      </c>
      <c r="G10" s="18" t="n">
        <f aca="false">N9</f>
        <v>1090018.51084771</v>
      </c>
      <c r="H10" s="18" t="n">
        <f aca="false">IF(A10&gt;Inputs!$B$8,0,G10*Inputs!$B$19)</f>
        <v>76301.29575934</v>
      </c>
      <c r="I10" s="18" t="n">
        <f aca="false">IF(B10="work",F10,0)</f>
        <v>40913.0316</v>
      </c>
      <c r="J10" s="18" t="n">
        <f aca="false">IF(AND(A10&gt;=Inputs!$B$23,A10&lt;Inputs!$B$8),Inputs!$B$32,0)</f>
        <v>0</v>
      </c>
      <c r="K10" s="18" t="n">
        <f aca="false">IF(AND(A10&gt;=Inputs!$B$33,A10&lt;Inputs!$B$8),Inputs!$B$35,0)</f>
        <v>0</v>
      </c>
      <c r="L10" s="18" t="n">
        <f aca="false">IF(B10="retire",Summary!$B$11-J10-K10,0)</f>
        <v>0</v>
      </c>
      <c r="M10" s="18" t="n">
        <f aca="false">IF(B10="work",E10,IF(B10="retire",J10+K10+L10,0))</f>
        <v>146117.97</v>
      </c>
      <c r="N10" s="18" t="n">
        <f aca="false">IF(A10&gt;=Inputs!$B$8,0,G10*(1+Inputs!$B$19)+I10-L10)</f>
        <v>1207232.83820705</v>
      </c>
    </row>
    <row r="11" customFormat="false" ht="15" hidden="false" customHeight="false" outlineLevel="0" collapsed="false">
      <c r="A11" s="23" t="n">
        <f aca="false">A10+1</f>
        <v>38</v>
      </c>
      <c r="B11" s="21" t="str">
        <f aca="false">IF(A11&lt;Inputs!$B$20,"work",IF(A11&lt;Inputs!$B$8,"retire","—"))</f>
        <v>work</v>
      </c>
      <c r="C11" s="18" t="n">
        <f aca="false">IF(B11&lt;&gt;"work",0,IF(A11-Inputs!$B$5&lt;Inputs!$B$13,Inputs!$B$11+(Inputs!$B$12-Inputs!$B$11)*(A11-Inputs!$B$5)/Inputs!$B$13,IF(A11-Inputs!$B$5&lt;Inputs!$B$13+Inputs!$B$14,Inputs!$B$12,Inputs!$B$15)))</f>
        <v>215000</v>
      </c>
      <c r="D11" s="18" t="n">
        <f aca="false">IF(C11&lt;=0,0,VLOOKUP(C11,Inputs!$A$39:$C$48,3,TRUE())+(C11-VLOOKUP(C11,Inputs!$A$39:$C$48,1,TRUE()))*VLOOKUP(C11,Inputs!$A$39:$C$48,2,TRUE()))</f>
        <v>68882.03</v>
      </c>
      <c r="E11" s="18" t="n">
        <f aca="false">C11-D11</f>
        <v>146117.97</v>
      </c>
      <c r="F11" s="18" t="n">
        <f aca="false">IF(B11="work",E11*Inputs!$B$16,0)</f>
        <v>40913.0316</v>
      </c>
      <c r="G11" s="18" t="n">
        <f aca="false">N10</f>
        <v>1207232.83820705</v>
      </c>
      <c r="H11" s="18" t="n">
        <f aca="false">IF(A11&gt;Inputs!$B$8,0,G11*Inputs!$B$19)</f>
        <v>84506.2986744938</v>
      </c>
      <c r="I11" s="18" t="n">
        <f aca="false">IF(B11="work",F11,0)</f>
        <v>40913.0316</v>
      </c>
      <c r="J11" s="18" t="n">
        <f aca="false">IF(AND(A11&gt;=Inputs!$B$23,A11&lt;Inputs!$B$8),Inputs!$B$32,0)</f>
        <v>0</v>
      </c>
      <c r="K11" s="18" t="n">
        <f aca="false">IF(AND(A11&gt;=Inputs!$B$33,A11&lt;Inputs!$B$8),Inputs!$B$35,0)</f>
        <v>0</v>
      </c>
      <c r="L11" s="18" t="n">
        <f aca="false">IF(B11="retire",Summary!$B$11-J11-K11,0)</f>
        <v>0</v>
      </c>
      <c r="M11" s="18" t="n">
        <f aca="false">IF(B11="work",E11,IF(B11="retire",J11+K11+L11,0))</f>
        <v>146117.97</v>
      </c>
      <c r="N11" s="18" t="n">
        <f aca="false">IF(A11&gt;=Inputs!$B$8,0,G11*(1+Inputs!$B$19)+I11-L11)</f>
        <v>1332652.16848155</v>
      </c>
    </row>
    <row r="12" customFormat="false" ht="15" hidden="false" customHeight="false" outlineLevel="0" collapsed="false">
      <c r="A12" s="23" t="n">
        <f aca="false">A11+1</f>
        <v>39</v>
      </c>
      <c r="B12" s="21" t="str">
        <f aca="false">IF(A12&lt;Inputs!$B$20,"work",IF(A12&lt;Inputs!$B$8,"retire","—"))</f>
        <v>work</v>
      </c>
      <c r="C12" s="18" t="n">
        <f aca="false">IF(B12&lt;&gt;"work",0,IF(A12-Inputs!$B$5&lt;Inputs!$B$13,Inputs!$B$11+(Inputs!$B$12-Inputs!$B$11)*(A12-Inputs!$B$5)/Inputs!$B$13,IF(A12-Inputs!$B$5&lt;Inputs!$B$13+Inputs!$B$14,Inputs!$B$12,Inputs!$B$15)))</f>
        <v>130000</v>
      </c>
      <c r="D12" s="18" t="n">
        <f aca="false">IF(C12&lt;=0,0,VLOOKUP(C12,Inputs!$A$39:$C$48,3,TRUE())+(C12-VLOOKUP(C12,Inputs!$A$39:$C$48,1,TRUE()))*VLOOKUP(C12,Inputs!$A$39:$C$48,2,TRUE()))</f>
        <v>32431.528</v>
      </c>
      <c r="E12" s="18" t="n">
        <f aca="false">C12-D12</f>
        <v>97568.472</v>
      </c>
      <c r="F12" s="18" t="n">
        <f aca="false">IF(B12="work",E12*Inputs!$B$16,0)</f>
        <v>27319.17216</v>
      </c>
      <c r="G12" s="18" t="n">
        <f aca="false">N11</f>
        <v>1332652.16848155</v>
      </c>
      <c r="H12" s="18" t="n">
        <f aca="false">IF(A12&gt;Inputs!$B$8,0,G12*Inputs!$B$19)</f>
        <v>93285.6517937084</v>
      </c>
      <c r="I12" s="18" t="n">
        <f aca="false">IF(B12="work",F12,0)</f>
        <v>27319.17216</v>
      </c>
      <c r="J12" s="18" t="n">
        <f aca="false">IF(AND(A12&gt;=Inputs!$B$23,A12&lt;Inputs!$B$8),Inputs!$B$32,0)</f>
        <v>0</v>
      </c>
      <c r="K12" s="18" t="n">
        <f aca="false">IF(AND(A12&gt;=Inputs!$B$33,A12&lt;Inputs!$B$8),Inputs!$B$35,0)</f>
        <v>0</v>
      </c>
      <c r="L12" s="18" t="n">
        <f aca="false">IF(B12="retire",Summary!$B$11-J12-K12,0)</f>
        <v>0</v>
      </c>
      <c r="M12" s="18" t="n">
        <f aca="false">IF(B12="work",E12,IF(B12="retire",J12+K12+L12,0))</f>
        <v>97568.472</v>
      </c>
      <c r="N12" s="18" t="n">
        <f aca="false">IF(A12&gt;=Inputs!$B$8,0,G12*(1+Inputs!$B$19)+I12-L12)</f>
        <v>1453256.99243526</v>
      </c>
    </row>
    <row r="13" customFormat="false" ht="15" hidden="false" customHeight="false" outlineLevel="0" collapsed="false">
      <c r="A13" s="23" t="n">
        <f aca="false">A12+1</f>
        <v>40</v>
      </c>
      <c r="B13" s="21" t="str">
        <f aca="false">IF(A13&lt;Inputs!$B$20,"work",IF(A13&lt;Inputs!$B$8,"retire","—"))</f>
        <v>work</v>
      </c>
      <c r="C13" s="18" t="n">
        <f aca="false">IF(B13&lt;&gt;"work",0,IF(A13-Inputs!$B$5&lt;Inputs!$B$13,Inputs!$B$11+(Inputs!$B$12-Inputs!$B$11)*(A13-Inputs!$B$5)/Inputs!$B$13,IF(A13-Inputs!$B$5&lt;Inputs!$B$13+Inputs!$B$14,Inputs!$B$12,Inputs!$B$15)))</f>
        <v>130000</v>
      </c>
      <c r="D13" s="18" t="n">
        <f aca="false">IF(C13&lt;=0,0,VLOOKUP(C13,Inputs!$A$39:$C$48,3,TRUE())+(C13-VLOOKUP(C13,Inputs!$A$39:$C$48,1,TRUE()))*VLOOKUP(C13,Inputs!$A$39:$C$48,2,TRUE()))</f>
        <v>32431.528</v>
      </c>
      <c r="E13" s="18" t="n">
        <f aca="false">C13-D13</f>
        <v>97568.472</v>
      </c>
      <c r="F13" s="18" t="n">
        <f aca="false">IF(B13="work",E13*Inputs!$B$16,0)</f>
        <v>27319.17216</v>
      </c>
      <c r="G13" s="18" t="n">
        <f aca="false">N12</f>
        <v>1453256.99243526</v>
      </c>
      <c r="H13" s="18" t="n">
        <f aca="false">IF(A13&gt;Inputs!$B$8,0,G13*Inputs!$B$19)</f>
        <v>101727.989470468</v>
      </c>
      <c r="I13" s="18" t="n">
        <f aca="false">IF(B13="work",F13,0)</f>
        <v>27319.17216</v>
      </c>
      <c r="J13" s="18" t="n">
        <f aca="false">IF(AND(A13&gt;=Inputs!$B$23,A13&lt;Inputs!$B$8),Inputs!$B$32,0)</f>
        <v>0</v>
      </c>
      <c r="K13" s="18" t="n">
        <f aca="false">IF(AND(A13&gt;=Inputs!$B$33,A13&lt;Inputs!$B$8),Inputs!$B$35,0)</f>
        <v>0</v>
      </c>
      <c r="L13" s="18" t="n">
        <f aca="false">IF(B13="retire",Summary!$B$11-J13-K13,0)</f>
        <v>0</v>
      </c>
      <c r="M13" s="18" t="n">
        <f aca="false">IF(B13="work",E13,IF(B13="retire",J13+K13+L13,0))</f>
        <v>97568.472</v>
      </c>
      <c r="N13" s="18" t="n">
        <f aca="false">IF(A13&gt;=Inputs!$B$8,0,G13*(1+Inputs!$B$19)+I13-L13)</f>
        <v>1582304.15406573</v>
      </c>
    </row>
    <row r="14" customFormat="false" ht="15" hidden="false" customHeight="false" outlineLevel="0" collapsed="false">
      <c r="A14" s="23" t="n">
        <f aca="false">A13+1</f>
        <v>41</v>
      </c>
      <c r="B14" s="21" t="str">
        <f aca="false">IF(A14&lt;Inputs!$B$20,"work",IF(A14&lt;Inputs!$B$8,"retire","—"))</f>
        <v>work</v>
      </c>
      <c r="C14" s="18" t="n">
        <f aca="false">IF(B14&lt;&gt;"work",0,IF(A14-Inputs!$B$5&lt;Inputs!$B$13,Inputs!$B$11+(Inputs!$B$12-Inputs!$B$11)*(A14-Inputs!$B$5)/Inputs!$B$13,IF(A14-Inputs!$B$5&lt;Inputs!$B$13+Inputs!$B$14,Inputs!$B$12,Inputs!$B$15)))</f>
        <v>130000</v>
      </c>
      <c r="D14" s="18" t="n">
        <f aca="false">IF(C14&lt;=0,0,VLOOKUP(C14,Inputs!$A$39:$C$48,3,TRUE())+(C14-VLOOKUP(C14,Inputs!$A$39:$C$48,1,TRUE()))*VLOOKUP(C14,Inputs!$A$39:$C$48,2,TRUE()))</f>
        <v>32431.528</v>
      </c>
      <c r="E14" s="18" t="n">
        <f aca="false">C14-D14</f>
        <v>97568.472</v>
      </c>
      <c r="F14" s="18" t="n">
        <f aca="false">IF(B14="work",E14*Inputs!$B$16,0)</f>
        <v>27319.17216</v>
      </c>
      <c r="G14" s="18" t="n">
        <f aca="false">N13</f>
        <v>1582304.15406573</v>
      </c>
      <c r="H14" s="18" t="n">
        <f aca="false">IF(A14&gt;Inputs!$B$8,0,G14*Inputs!$B$19)</f>
        <v>110761.290784601</v>
      </c>
      <c r="I14" s="18" t="n">
        <f aca="false">IF(B14="work",F14,0)</f>
        <v>27319.17216</v>
      </c>
      <c r="J14" s="18" t="n">
        <f aca="false">IF(AND(A14&gt;=Inputs!$B$23,A14&lt;Inputs!$B$8),Inputs!$B$32,0)</f>
        <v>0</v>
      </c>
      <c r="K14" s="18" t="n">
        <f aca="false">IF(AND(A14&gt;=Inputs!$B$33,A14&lt;Inputs!$B$8),Inputs!$B$35,0)</f>
        <v>0</v>
      </c>
      <c r="L14" s="18" t="n">
        <f aca="false">IF(B14="retire",Summary!$B$11-J14-K14,0)</f>
        <v>0</v>
      </c>
      <c r="M14" s="18" t="n">
        <f aca="false">IF(B14="work",E14,IF(B14="retire",J14+K14+L14,0))</f>
        <v>97568.472</v>
      </c>
      <c r="N14" s="18" t="n">
        <f aca="false">IF(A14&gt;=Inputs!$B$8,0,G14*(1+Inputs!$B$19)+I14-L14)</f>
        <v>1720384.61701033</v>
      </c>
    </row>
    <row r="15" customFormat="false" ht="15" hidden="false" customHeight="false" outlineLevel="0" collapsed="false">
      <c r="A15" s="23" t="n">
        <f aca="false">A14+1</f>
        <v>42</v>
      </c>
      <c r="B15" s="21" t="str">
        <f aca="false">IF(A15&lt;Inputs!$B$20,"work",IF(A15&lt;Inputs!$B$8,"retire","—"))</f>
        <v>work</v>
      </c>
      <c r="C15" s="18" t="n">
        <f aca="false">IF(B15&lt;&gt;"work",0,IF(A15-Inputs!$B$5&lt;Inputs!$B$13,Inputs!$B$11+(Inputs!$B$12-Inputs!$B$11)*(A15-Inputs!$B$5)/Inputs!$B$13,IF(A15-Inputs!$B$5&lt;Inputs!$B$13+Inputs!$B$14,Inputs!$B$12,Inputs!$B$15)))</f>
        <v>130000</v>
      </c>
      <c r="D15" s="18" t="n">
        <f aca="false">IF(C15&lt;=0,0,VLOOKUP(C15,Inputs!$A$39:$C$48,3,TRUE())+(C15-VLOOKUP(C15,Inputs!$A$39:$C$48,1,TRUE()))*VLOOKUP(C15,Inputs!$A$39:$C$48,2,TRUE()))</f>
        <v>32431.528</v>
      </c>
      <c r="E15" s="18" t="n">
        <f aca="false">C15-D15</f>
        <v>97568.472</v>
      </c>
      <c r="F15" s="18" t="n">
        <f aca="false">IF(B15="work",E15*Inputs!$B$16,0)</f>
        <v>27319.17216</v>
      </c>
      <c r="G15" s="18" t="n">
        <f aca="false">N14</f>
        <v>1720384.61701033</v>
      </c>
      <c r="H15" s="18" t="n">
        <f aca="false">IF(A15&gt;Inputs!$B$8,0,G15*Inputs!$B$19)</f>
        <v>120426.923190723</v>
      </c>
      <c r="I15" s="18" t="n">
        <f aca="false">IF(B15="work",F15,0)</f>
        <v>27319.17216</v>
      </c>
      <c r="J15" s="18" t="n">
        <f aca="false">IF(AND(A15&gt;=Inputs!$B$23,A15&lt;Inputs!$B$8),Inputs!$B$32,0)</f>
        <v>0</v>
      </c>
      <c r="K15" s="18" t="n">
        <f aca="false">IF(AND(A15&gt;=Inputs!$B$33,A15&lt;Inputs!$B$8),Inputs!$B$35,0)</f>
        <v>0</v>
      </c>
      <c r="L15" s="18" t="n">
        <f aca="false">IF(B15="retire",Summary!$B$11-J15-K15,0)</f>
        <v>0</v>
      </c>
      <c r="M15" s="18" t="n">
        <f aca="false">IF(B15="work",E15,IF(B15="retire",J15+K15+L15,0))</f>
        <v>97568.472</v>
      </c>
      <c r="N15" s="18" t="n">
        <f aca="false">IF(A15&gt;=Inputs!$B$8,0,G15*(1+Inputs!$B$19)+I15-L15)</f>
        <v>1868130.71236105</v>
      </c>
    </row>
    <row r="16" customFormat="false" ht="15" hidden="false" customHeight="false" outlineLevel="0" collapsed="false">
      <c r="A16" s="23" t="n">
        <f aca="false">A15+1</f>
        <v>43</v>
      </c>
      <c r="B16" s="21" t="str">
        <f aca="false">IF(A16&lt;Inputs!$B$20,"work",IF(A16&lt;Inputs!$B$8,"retire","—"))</f>
        <v>work</v>
      </c>
      <c r="C16" s="18" t="n">
        <f aca="false">IF(B16&lt;&gt;"work",0,IF(A16-Inputs!$B$5&lt;Inputs!$B$13,Inputs!$B$11+(Inputs!$B$12-Inputs!$B$11)*(A16-Inputs!$B$5)/Inputs!$B$13,IF(A16-Inputs!$B$5&lt;Inputs!$B$13+Inputs!$B$14,Inputs!$B$12,Inputs!$B$15)))</f>
        <v>130000</v>
      </c>
      <c r="D16" s="18" t="n">
        <f aca="false">IF(C16&lt;=0,0,VLOOKUP(C16,Inputs!$A$39:$C$48,3,TRUE())+(C16-VLOOKUP(C16,Inputs!$A$39:$C$48,1,TRUE()))*VLOOKUP(C16,Inputs!$A$39:$C$48,2,TRUE()))</f>
        <v>32431.528</v>
      </c>
      <c r="E16" s="18" t="n">
        <f aca="false">C16-D16</f>
        <v>97568.472</v>
      </c>
      <c r="F16" s="18" t="n">
        <f aca="false">IF(B16="work",E16*Inputs!$B$16,0)</f>
        <v>27319.17216</v>
      </c>
      <c r="G16" s="18" t="n">
        <f aca="false">N15</f>
        <v>1868130.71236105</v>
      </c>
      <c r="H16" s="18" t="n">
        <f aca="false">IF(A16&gt;Inputs!$B$8,0,G16*Inputs!$B$19)</f>
        <v>130769.149865273</v>
      </c>
      <c r="I16" s="18" t="n">
        <f aca="false">IF(B16="work",F16,0)</f>
        <v>27319.17216</v>
      </c>
      <c r="J16" s="18" t="n">
        <f aca="false">IF(AND(A16&gt;=Inputs!$B$23,A16&lt;Inputs!$B$8),Inputs!$B$32,0)</f>
        <v>0</v>
      </c>
      <c r="K16" s="18" t="n">
        <f aca="false">IF(AND(A16&gt;=Inputs!$B$33,A16&lt;Inputs!$B$8),Inputs!$B$35,0)</f>
        <v>0</v>
      </c>
      <c r="L16" s="18" t="n">
        <f aca="false">IF(B16="retire",Summary!$B$11-J16-K16,0)</f>
        <v>0</v>
      </c>
      <c r="M16" s="18" t="n">
        <f aca="false">IF(B16="work",E16,IF(B16="retire",J16+K16+L16,0))</f>
        <v>97568.472</v>
      </c>
      <c r="N16" s="18" t="n">
        <f aca="false">IF(A16&gt;=Inputs!$B$8,0,G16*(1+Inputs!$B$19)+I16-L16)</f>
        <v>2026219.03438632</v>
      </c>
    </row>
    <row r="17" customFormat="false" ht="15" hidden="false" customHeight="false" outlineLevel="0" collapsed="false">
      <c r="A17" s="23" t="n">
        <f aca="false">A16+1</f>
        <v>44</v>
      </c>
      <c r="B17" s="21" t="str">
        <f aca="false">IF(A17&lt;Inputs!$B$20,"work",IF(A17&lt;Inputs!$B$8,"retire","—"))</f>
        <v>work</v>
      </c>
      <c r="C17" s="18" t="n">
        <f aca="false">IF(B17&lt;&gt;"work",0,IF(A17-Inputs!$B$5&lt;Inputs!$B$13,Inputs!$B$11+(Inputs!$B$12-Inputs!$B$11)*(A17-Inputs!$B$5)/Inputs!$B$13,IF(A17-Inputs!$B$5&lt;Inputs!$B$13+Inputs!$B$14,Inputs!$B$12,Inputs!$B$15)))</f>
        <v>130000</v>
      </c>
      <c r="D17" s="18" t="n">
        <f aca="false">IF(C17&lt;=0,0,VLOOKUP(C17,Inputs!$A$39:$C$48,3,TRUE())+(C17-VLOOKUP(C17,Inputs!$A$39:$C$48,1,TRUE()))*VLOOKUP(C17,Inputs!$A$39:$C$48,2,TRUE()))</f>
        <v>32431.528</v>
      </c>
      <c r="E17" s="18" t="n">
        <f aca="false">C17-D17</f>
        <v>97568.472</v>
      </c>
      <c r="F17" s="18" t="n">
        <f aca="false">IF(B17="work",E17*Inputs!$B$16,0)</f>
        <v>27319.17216</v>
      </c>
      <c r="G17" s="18" t="n">
        <f aca="false">N16</f>
        <v>2026219.03438632</v>
      </c>
      <c r="H17" s="18" t="n">
        <f aca="false">IF(A17&gt;Inputs!$B$8,0,G17*Inputs!$B$19)</f>
        <v>141835.332407043</v>
      </c>
      <c r="I17" s="18" t="n">
        <f aca="false">IF(B17="work",F17,0)</f>
        <v>27319.17216</v>
      </c>
      <c r="J17" s="18" t="n">
        <f aca="false">IF(AND(A17&gt;=Inputs!$B$23,A17&lt;Inputs!$B$8),Inputs!$B$32,0)</f>
        <v>0</v>
      </c>
      <c r="K17" s="18" t="n">
        <f aca="false">IF(AND(A17&gt;=Inputs!$B$33,A17&lt;Inputs!$B$8),Inputs!$B$35,0)</f>
        <v>0</v>
      </c>
      <c r="L17" s="18" t="n">
        <f aca="false">IF(B17="retire",Summary!$B$11-J17-K17,0)</f>
        <v>0</v>
      </c>
      <c r="M17" s="18" t="n">
        <f aca="false">IF(B17="work",E17,IF(B17="retire",J17+K17+L17,0))</f>
        <v>97568.472</v>
      </c>
      <c r="N17" s="18" t="n">
        <f aca="false">IF(A17&gt;=Inputs!$B$8,0,G17*(1+Inputs!$B$19)+I17-L17)</f>
        <v>2195373.53895337</v>
      </c>
    </row>
    <row r="18" customFormat="false" ht="15" hidden="false" customHeight="false" outlineLevel="0" collapsed="false">
      <c r="A18" s="23" t="n">
        <f aca="false">A17+1</f>
        <v>45</v>
      </c>
      <c r="B18" s="21" t="str">
        <f aca="false">IF(A18&lt;Inputs!$B$20,"work",IF(A18&lt;Inputs!$B$8,"retire","—"))</f>
        <v>work</v>
      </c>
      <c r="C18" s="18" t="n">
        <f aca="false">IF(B18&lt;&gt;"work",0,IF(A18-Inputs!$B$5&lt;Inputs!$B$13,Inputs!$B$11+(Inputs!$B$12-Inputs!$B$11)*(A18-Inputs!$B$5)/Inputs!$B$13,IF(A18-Inputs!$B$5&lt;Inputs!$B$13+Inputs!$B$14,Inputs!$B$12,Inputs!$B$15)))</f>
        <v>130000</v>
      </c>
      <c r="D18" s="18" t="n">
        <f aca="false">IF(C18&lt;=0,0,VLOOKUP(C18,Inputs!$A$39:$C$48,3,TRUE())+(C18-VLOOKUP(C18,Inputs!$A$39:$C$48,1,TRUE()))*VLOOKUP(C18,Inputs!$A$39:$C$48,2,TRUE()))</f>
        <v>32431.528</v>
      </c>
      <c r="E18" s="18" t="n">
        <f aca="false">C18-D18</f>
        <v>97568.472</v>
      </c>
      <c r="F18" s="18" t="n">
        <f aca="false">IF(B18="work",E18*Inputs!$B$16,0)</f>
        <v>27319.17216</v>
      </c>
      <c r="G18" s="18" t="n">
        <f aca="false">N17</f>
        <v>2195373.53895337</v>
      </c>
      <c r="H18" s="18" t="n">
        <f aca="false">IF(A18&gt;Inputs!$B$8,0,G18*Inputs!$B$19)</f>
        <v>153676.147726736</v>
      </c>
      <c r="I18" s="18" t="n">
        <f aca="false">IF(B18="work",F18,0)</f>
        <v>27319.17216</v>
      </c>
      <c r="J18" s="18" t="n">
        <f aca="false">IF(AND(A18&gt;=Inputs!$B$23,A18&lt;Inputs!$B$8),Inputs!$B$32,0)</f>
        <v>0</v>
      </c>
      <c r="K18" s="18" t="n">
        <f aca="false">IF(AND(A18&gt;=Inputs!$B$33,A18&lt;Inputs!$B$8),Inputs!$B$35,0)</f>
        <v>0</v>
      </c>
      <c r="L18" s="18" t="n">
        <f aca="false">IF(B18="retire",Summary!$B$11-J18-K18,0)</f>
        <v>0</v>
      </c>
      <c r="M18" s="18" t="n">
        <f aca="false">IF(B18="work",E18,IF(B18="retire",J18+K18+L18,0))</f>
        <v>97568.472</v>
      </c>
      <c r="N18" s="18" t="n">
        <f aca="false">IF(A18&gt;=Inputs!$B$8,0,G18*(1+Inputs!$B$19)+I18-L18)</f>
        <v>2376368.8588401</v>
      </c>
    </row>
    <row r="19" customFormat="false" ht="15" hidden="false" customHeight="false" outlineLevel="0" collapsed="false">
      <c r="A19" s="23" t="n">
        <f aca="false">A18+1</f>
        <v>46</v>
      </c>
      <c r="B19" s="21" t="str">
        <f aca="false">IF(A19&lt;Inputs!$B$20,"work",IF(A19&lt;Inputs!$B$8,"retire","—"))</f>
        <v>work</v>
      </c>
      <c r="C19" s="18" t="n">
        <f aca="false">IF(B19&lt;&gt;"work",0,IF(A19-Inputs!$B$5&lt;Inputs!$B$13,Inputs!$B$11+(Inputs!$B$12-Inputs!$B$11)*(A19-Inputs!$B$5)/Inputs!$B$13,IF(A19-Inputs!$B$5&lt;Inputs!$B$13+Inputs!$B$14,Inputs!$B$12,Inputs!$B$15)))</f>
        <v>130000</v>
      </c>
      <c r="D19" s="18" t="n">
        <f aca="false">IF(C19&lt;=0,0,VLOOKUP(C19,Inputs!$A$39:$C$48,3,TRUE())+(C19-VLOOKUP(C19,Inputs!$A$39:$C$48,1,TRUE()))*VLOOKUP(C19,Inputs!$A$39:$C$48,2,TRUE()))</f>
        <v>32431.528</v>
      </c>
      <c r="E19" s="18" t="n">
        <f aca="false">C19-D19</f>
        <v>97568.472</v>
      </c>
      <c r="F19" s="18" t="n">
        <f aca="false">IF(B19="work",E19*Inputs!$B$16,0)</f>
        <v>27319.17216</v>
      </c>
      <c r="G19" s="18" t="n">
        <f aca="false">N18</f>
        <v>2376368.8588401</v>
      </c>
      <c r="H19" s="18" t="n">
        <f aca="false">IF(A19&gt;Inputs!$B$8,0,G19*Inputs!$B$19)</f>
        <v>166345.820118807</v>
      </c>
      <c r="I19" s="18" t="n">
        <f aca="false">IF(B19="work",F19,0)</f>
        <v>27319.17216</v>
      </c>
      <c r="J19" s="18" t="n">
        <f aca="false">IF(AND(A19&gt;=Inputs!$B$23,A19&lt;Inputs!$B$8),Inputs!$B$32,0)</f>
        <v>0</v>
      </c>
      <c r="K19" s="18" t="n">
        <f aca="false">IF(AND(A19&gt;=Inputs!$B$33,A19&lt;Inputs!$B$8),Inputs!$B$35,0)</f>
        <v>0</v>
      </c>
      <c r="L19" s="18" t="n">
        <f aca="false">IF(B19="retire",Summary!$B$11-J19-K19,0)</f>
        <v>0</v>
      </c>
      <c r="M19" s="18" t="n">
        <f aca="false">IF(B19="work",E19,IF(B19="retire",J19+K19+L19,0))</f>
        <v>97568.472</v>
      </c>
      <c r="N19" s="18" t="n">
        <f aca="false">IF(A19&gt;=Inputs!$B$8,0,G19*(1+Inputs!$B$19)+I19-L19)</f>
        <v>2570033.85111891</v>
      </c>
    </row>
    <row r="20" customFormat="false" ht="15" hidden="false" customHeight="false" outlineLevel="0" collapsed="false">
      <c r="A20" s="23" t="n">
        <f aca="false">A19+1</f>
        <v>47</v>
      </c>
      <c r="B20" s="21" t="str">
        <f aca="false">IF(A20&lt;Inputs!$B$20,"work",IF(A20&lt;Inputs!$B$8,"retire","—"))</f>
        <v>work</v>
      </c>
      <c r="C20" s="18" t="n">
        <f aca="false">IF(B20&lt;&gt;"work",0,IF(A20-Inputs!$B$5&lt;Inputs!$B$13,Inputs!$B$11+(Inputs!$B$12-Inputs!$B$11)*(A20-Inputs!$B$5)/Inputs!$B$13,IF(A20-Inputs!$B$5&lt;Inputs!$B$13+Inputs!$B$14,Inputs!$B$12,Inputs!$B$15)))</f>
        <v>130000</v>
      </c>
      <c r="D20" s="18" t="n">
        <f aca="false">IF(C20&lt;=0,0,VLOOKUP(C20,Inputs!$A$39:$C$48,3,TRUE())+(C20-VLOOKUP(C20,Inputs!$A$39:$C$48,1,TRUE()))*VLOOKUP(C20,Inputs!$A$39:$C$48,2,TRUE()))</f>
        <v>32431.528</v>
      </c>
      <c r="E20" s="18" t="n">
        <f aca="false">C20-D20</f>
        <v>97568.472</v>
      </c>
      <c r="F20" s="18" t="n">
        <f aca="false">IF(B20="work",E20*Inputs!$B$16,0)</f>
        <v>27319.17216</v>
      </c>
      <c r="G20" s="18" t="n">
        <f aca="false">N19</f>
        <v>2570033.85111891</v>
      </c>
      <c r="H20" s="18" t="n">
        <f aca="false">IF(A20&gt;Inputs!$B$8,0,G20*Inputs!$B$19)</f>
        <v>179902.369578324</v>
      </c>
      <c r="I20" s="18" t="n">
        <f aca="false">IF(B20="work",F20,0)</f>
        <v>27319.17216</v>
      </c>
      <c r="J20" s="18" t="n">
        <f aca="false">IF(AND(A20&gt;=Inputs!$B$23,A20&lt;Inputs!$B$8),Inputs!$B$32,0)</f>
        <v>0</v>
      </c>
      <c r="K20" s="18" t="n">
        <f aca="false">IF(AND(A20&gt;=Inputs!$B$33,A20&lt;Inputs!$B$8),Inputs!$B$35,0)</f>
        <v>0</v>
      </c>
      <c r="L20" s="18" t="n">
        <f aca="false">IF(B20="retire",Summary!$B$11-J20-K20,0)</f>
        <v>0</v>
      </c>
      <c r="M20" s="18" t="n">
        <f aca="false">IF(B20="work",E20,IF(B20="retire",J20+K20+L20,0))</f>
        <v>97568.472</v>
      </c>
      <c r="N20" s="18" t="n">
        <f aca="false">IF(A20&gt;=Inputs!$B$8,0,G20*(1+Inputs!$B$19)+I20-L20)</f>
        <v>2777255.39285723</v>
      </c>
    </row>
    <row r="21" customFormat="false" ht="15" hidden="false" customHeight="false" outlineLevel="0" collapsed="false">
      <c r="A21" s="23" t="n">
        <f aca="false">A20+1</f>
        <v>48</v>
      </c>
      <c r="B21" s="21" t="str">
        <f aca="false">IF(A21&lt;Inputs!$B$20,"work",IF(A21&lt;Inputs!$B$8,"retire","—"))</f>
        <v>work</v>
      </c>
      <c r="C21" s="18" t="n">
        <f aca="false">IF(B21&lt;&gt;"work",0,IF(A21-Inputs!$B$5&lt;Inputs!$B$13,Inputs!$B$11+(Inputs!$B$12-Inputs!$B$11)*(A21-Inputs!$B$5)/Inputs!$B$13,IF(A21-Inputs!$B$5&lt;Inputs!$B$13+Inputs!$B$14,Inputs!$B$12,Inputs!$B$15)))</f>
        <v>130000</v>
      </c>
      <c r="D21" s="18" t="n">
        <f aca="false">IF(C21&lt;=0,0,VLOOKUP(C21,Inputs!$A$39:$C$48,3,TRUE())+(C21-VLOOKUP(C21,Inputs!$A$39:$C$48,1,TRUE()))*VLOOKUP(C21,Inputs!$A$39:$C$48,2,TRUE()))</f>
        <v>32431.528</v>
      </c>
      <c r="E21" s="18" t="n">
        <f aca="false">C21-D21</f>
        <v>97568.472</v>
      </c>
      <c r="F21" s="18" t="n">
        <f aca="false">IF(B21="work",E21*Inputs!$B$16,0)</f>
        <v>27319.17216</v>
      </c>
      <c r="G21" s="18" t="n">
        <f aca="false">N20</f>
        <v>2777255.39285723</v>
      </c>
      <c r="H21" s="18" t="n">
        <f aca="false">IF(A21&gt;Inputs!$B$8,0,G21*Inputs!$B$19)</f>
        <v>194407.877500006</v>
      </c>
      <c r="I21" s="18" t="n">
        <f aca="false">IF(B21="work",F21,0)</f>
        <v>27319.17216</v>
      </c>
      <c r="J21" s="18" t="n">
        <f aca="false">IF(AND(A21&gt;=Inputs!$B$23,A21&lt;Inputs!$B$8),Inputs!$B$32,0)</f>
        <v>0</v>
      </c>
      <c r="K21" s="18" t="n">
        <f aca="false">IF(AND(A21&gt;=Inputs!$B$33,A21&lt;Inputs!$B$8),Inputs!$B$35,0)</f>
        <v>0</v>
      </c>
      <c r="L21" s="18" t="n">
        <f aca="false">IF(B21="retire",Summary!$B$11-J21-K21,0)</f>
        <v>0</v>
      </c>
      <c r="M21" s="18" t="n">
        <f aca="false">IF(B21="work",E21,IF(B21="retire",J21+K21+L21,0))</f>
        <v>97568.472</v>
      </c>
      <c r="N21" s="18" t="n">
        <f aca="false">IF(A21&gt;=Inputs!$B$8,0,G21*(1+Inputs!$B$19)+I21-L21)</f>
        <v>2998982.44251724</v>
      </c>
    </row>
    <row r="22" customFormat="false" ht="15" hidden="false" customHeight="false" outlineLevel="0" collapsed="false">
      <c r="A22" s="23" t="n">
        <f aca="false">A21+1</f>
        <v>49</v>
      </c>
      <c r="B22" s="21" t="str">
        <f aca="false">IF(A22&lt;Inputs!$B$20,"work",IF(A22&lt;Inputs!$B$8,"retire","—"))</f>
        <v>work</v>
      </c>
      <c r="C22" s="18" t="n">
        <f aca="false">IF(B22&lt;&gt;"work",0,IF(A22-Inputs!$B$5&lt;Inputs!$B$13,Inputs!$B$11+(Inputs!$B$12-Inputs!$B$11)*(A22-Inputs!$B$5)/Inputs!$B$13,IF(A22-Inputs!$B$5&lt;Inputs!$B$13+Inputs!$B$14,Inputs!$B$12,Inputs!$B$15)))</f>
        <v>130000</v>
      </c>
      <c r="D22" s="18" t="n">
        <f aca="false">IF(C22&lt;=0,0,VLOOKUP(C22,Inputs!$A$39:$C$48,3,TRUE())+(C22-VLOOKUP(C22,Inputs!$A$39:$C$48,1,TRUE()))*VLOOKUP(C22,Inputs!$A$39:$C$48,2,TRUE()))</f>
        <v>32431.528</v>
      </c>
      <c r="E22" s="18" t="n">
        <f aca="false">C22-D22</f>
        <v>97568.472</v>
      </c>
      <c r="F22" s="18" t="n">
        <f aca="false">IF(B22="work",E22*Inputs!$B$16,0)</f>
        <v>27319.17216</v>
      </c>
      <c r="G22" s="18" t="n">
        <f aca="false">N21</f>
        <v>2998982.44251724</v>
      </c>
      <c r="H22" s="18" t="n">
        <f aca="false">IF(A22&gt;Inputs!$B$8,0,G22*Inputs!$B$19)</f>
        <v>209928.770976207</v>
      </c>
      <c r="I22" s="18" t="n">
        <f aca="false">IF(B22="work",F22,0)</f>
        <v>27319.17216</v>
      </c>
      <c r="J22" s="18" t="n">
        <f aca="false">IF(AND(A22&gt;=Inputs!$B$23,A22&lt;Inputs!$B$8),Inputs!$B$32,0)</f>
        <v>0</v>
      </c>
      <c r="K22" s="18" t="n">
        <f aca="false">IF(AND(A22&gt;=Inputs!$B$33,A22&lt;Inputs!$B$8),Inputs!$B$35,0)</f>
        <v>0</v>
      </c>
      <c r="L22" s="18" t="n">
        <f aca="false">IF(B22="retire",Summary!$B$11-J22-K22,0)</f>
        <v>0</v>
      </c>
      <c r="M22" s="18" t="n">
        <f aca="false">IF(B22="work",E22,IF(B22="retire",J22+K22+L22,0))</f>
        <v>97568.472</v>
      </c>
      <c r="N22" s="18" t="n">
        <f aca="false">IF(A22&gt;=Inputs!$B$8,0,G22*(1+Inputs!$B$19)+I22-L22)</f>
        <v>3236230.38565345</v>
      </c>
    </row>
    <row r="23" customFormat="false" ht="15" hidden="false" customHeight="false" outlineLevel="0" collapsed="false">
      <c r="A23" s="23" t="n">
        <f aca="false">A22+1</f>
        <v>50</v>
      </c>
      <c r="B23" s="21" t="str">
        <f aca="false">IF(A23&lt;Inputs!$B$20,"work",IF(A23&lt;Inputs!$B$8,"retire","—"))</f>
        <v>work</v>
      </c>
      <c r="C23" s="18" t="n">
        <f aca="false">IF(B23&lt;&gt;"work",0,IF(A23-Inputs!$B$5&lt;Inputs!$B$13,Inputs!$B$11+(Inputs!$B$12-Inputs!$B$11)*(A23-Inputs!$B$5)/Inputs!$B$13,IF(A23-Inputs!$B$5&lt;Inputs!$B$13+Inputs!$B$14,Inputs!$B$12,Inputs!$B$15)))</f>
        <v>130000</v>
      </c>
      <c r="D23" s="18" t="n">
        <f aca="false">IF(C23&lt;=0,0,VLOOKUP(C23,Inputs!$A$39:$C$48,3,TRUE())+(C23-VLOOKUP(C23,Inputs!$A$39:$C$48,1,TRUE()))*VLOOKUP(C23,Inputs!$A$39:$C$48,2,TRUE()))</f>
        <v>32431.528</v>
      </c>
      <c r="E23" s="18" t="n">
        <f aca="false">C23-D23</f>
        <v>97568.472</v>
      </c>
      <c r="F23" s="18" t="n">
        <f aca="false">IF(B23="work",E23*Inputs!$B$16,0)</f>
        <v>27319.17216</v>
      </c>
      <c r="G23" s="18" t="n">
        <f aca="false">N22</f>
        <v>3236230.38565345</v>
      </c>
      <c r="H23" s="18" t="n">
        <f aca="false">IF(A23&gt;Inputs!$B$8,0,G23*Inputs!$B$19)</f>
        <v>226536.126995741</v>
      </c>
      <c r="I23" s="18" t="n">
        <f aca="false">IF(B23="work",F23,0)</f>
        <v>27319.17216</v>
      </c>
      <c r="J23" s="18" t="n">
        <f aca="false">IF(AND(A23&gt;=Inputs!$B$23,A23&lt;Inputs!$B$8),Inputs!$B$32,0)</f>
        <v>0</v>
      </c>
      <c r="K23" s="18" t="n">
        <f aca="false">IF(AND(A23&gt;=Inputs!$B$33,A23&lt;Inputs!$B$8),Inputs!$B$35,0)</f>
        <v>0</v>
      </c>
      <c r="L23" s="18" t="n">
        <f aca="false">IF(B23="retire",Summary!$B$11-J23-K23,0)</f>
        <v>0</v>
      </c>
      <c r="M23" s="18" t="n">
        <f aca="false">IF(B23="work",E23,IF(B23="retire",J23+K23+L23,0))</f>
        <v>97568.472</v>
      </c>
      <c r="N23" s="18" t="n">
        <f aca="false">IF(A23&gt;=Inputs!$B$8,0,G23*(1+Inputs!$B$19)+I23-L23)</f>
        <v>3490085.68480919</v>
      </c>
    </row>
    <row r="24" customFormat="false" ht="15" hidden="false" customHeight="false" outlineLevel="0" collapsed="false">
      <c r="A24" s="23" t="n">
        <f aca="false">A23+1</f>
        <v>51</v>
      </c>
      <c r="B24" s="21" t="str">
        <f aca="false">IF(A24&lt;Inputs!$B$20,"work",IF(A24&lt;Inputs!$B$8,"retire","—"))</f>
        <v>work</v>
      </c>
      <c r="C24" s="18" t="n">
        <f aca="false">IF(B24&lt;&gt;"work",0,IF(A24-Inputs!$B$5&lt;Inputs!$B$13,Inputs!$B$11+(Inputs!$B$12-Inputs!$B$11)*(A24-Inputs!$B$5)/Inputs!$B$13,IF(A24-Inputs!$B$5&lt;Inputs!$B$13+Inputs!$B$14,Inputs!$B$12,Inputs!$B$15)))</f>
        <v>130000</v>
      </c>
      <c r="D24" s="18" t="n">
        <f aca="false">IF(C24&lt;=0,0,VLOOKUP(C24,Inputs!$A$39:$C$48,3,TRUE())+(C24-VLOOKUP(C24,Inputs!$A$39:$C$48,1,TRUE()))*VLOOKUP(C24,Inputs!$A$39:$C$48,2,TRUE()))</f>
        <v>32431.528</v>
      </c>
      <c r="E24" s="18" t="n">
        <f aca="false">C24-D24</f>
        <v>97568.472</v>
      </c>
      <c r="F24" s="18" t="n">
        <f aca="false">IF(B24="work",E24*Inputs!$B$16,0)</f>
        <v>27319.17216</v>
      </c>
      <c r="G24" s="18" t="n">
        <f aca="false">N23</f>
        <v>3490085.68480919</v>
      </c>
      <c r="H24" s="18" t="n">
        <f aca="false">IF(A24&gt;Inputs!$B$8,0,G24*Inputs!$B$19)</f>
        <v>244305.997936643</v>
      </c>
      <c r="I24" s="18" t="n">
        <f aca="false">IF(B24="work",F24,0)</f>
        <v>27319.17216</v>
      </c>
      <c r="J24" s="18" t="n">
        <f aca="false">IF(AND(A24&gt;=Inputs!$B$23,A24&lt;Inputs!$B$8),Inputs!$B$32,0)</f>
        <v>0</v>
      </c>
      <c r="K24" s="18" t="n">
        <f aca="false">IF(AND(A24&gt;=Inputs!$B$33,A24&lt;Inputs!$B$8),Inputs!$B$35,0)</f>
        <v>0</v>
      </c>
      <c r="L24" s="18" t="n">
        <f aca="false">IF(B24="retire",Summary!$B$11-J24-K24,0)</f>
        <v>0</v>
      </c>
      <c r="M24" s="18" t="n">
        <f aca="false">IF(B24="work",E24,IF(B24="retire",J24+K24+L24,0))</f>
        <v>97568.472</v>
      </c>
      <c r="N24" s="18" t="n">
        <f aca="false">IF(A24&gt;=Inputs!$B$8,0,G24*(1+Inputs!$B$19)+I24-L24)</f>
        <v>3761710.85490583</v>
      </c>
    </row>
    <row r="25" customFormat="false" ht="15" hidden="false" customHeight="false" outlineLevel="0" collapsed="false">
      <c r="A25" s="23" t="n">
        <f aca="false">A24+1</f>
        <v>52</v>
      </c>
      <c r="B25" s="21" t="str">
        <f aca="false">IF(A25&lt;Inputs!$B$20,"work",IF(A25&lt;Inputs!$B$8,"retire","—"))</f>
        <v>work</v>
      </c>
      <c r="C25" s="18" t="n">
        <f aca="false">IF(B25&lt;&gt;"work",0,IF(A25-Inputs!$B$5&lt;Inputs!$B$13,Inputs!$B$11+(Inputs!$B$12-Inputs!$B$11)*(A25-Inputs!$B$5)/Inputs!$B$13,IF(A25-Inputs!$B$5&lt;Inputs!$B$13+Inputs!$B$14,Inputs!$B$12,Inputs!$B$15)))</f>
        <v>130000</v>
      </c>
      <c r="D25" s="18" t="n">
        <f aca="false">IF(C25&lt;=0,0,VLOOKUP(C25,Inputs!$A$39:$C$48,3,TRUE())+(C25-VLOOKUP(C25,Inputs!$A$39:$C$48,1,TRUE()))*VLOOKUP(C25,Inputs!$A$39:$C$48,2,TRUE()))</f>
        <v>32431.528</v>
      </c>
      <c r="E25" s="18" t="n">
        <f aca="false">C25-D25</f>
        <v>97568.472</v>
      </c>
      <c r="F25" s="18" t="n">
        <f aca="false">IF(B25="work",E25*Inputs!$B$16,0)</f>
        <v>27319.17216</v>
      </c>
      <c r="G25" s="18" t="n">
        <f aca="false">N24</f>
        <v>3761710.85490583</v>
      </c>
      <c r="H25" s="18" t="n">
        <f aca="false">IF(A25&gt;Inputs!$B$8,0,G25*Inputs!$B$19)</f>
        <v>263319.759843408</v>
      </c>
      <c r="I25" s="18" t="n">
        <f aca="false">IF(B25="work",F25,0)</f>
        <v>27319.17216</v>
      </c>
      <c r="J25" s="18" t="n">
        <f aca="false">IF(AND(A25&gt;=Inputs!$B$23,A25&lt;Inputs!$B$8),Inputs!$B$32,0)</f>
        <v>0</v>
      </c>
      <c r="K25" s="18" t="n">
        <f aca="false">IF(AND(A25&gt;=Inputs!$B$33,A25&lt;Inputs!$B$8),Inputs!$B$35,0)</f>
        <v>0</v>
      </c>
      <c r="L25" s="18" t="n">
        <f aca="false">IF(B25="retire",Summary!$B$11-J25-K25,0)</f>
        <v>0</v>
      </c>
      <c r="M25" s="18" t="n">
        <f aca="false">IF(B25="work",E25,IF(B25="retire",J25+K25+L25,0))</f>
        <v>97568.472</v>
      </c>
      <c r="N25" s="18" t="n">
        <f aca="false">IF(A25&gt;=Inputs!$B$8,0,G25*(1+Inputs!$B$19)+I25-L25)</f>
        <v>4052349.78690924</v>
      </c>
    </row>
    <row r="26" customFormat="false" ht="15" hidden="false" customHeight="false" outlineLevel="0" collapsed="false">
      <c r="A26" s="23" t="n">
        <f aca="false">A25+1</f>
        <v>53</v>
      </c>
      <c r="B26" s="21" t="str">
        <f aca="false">IF(A26&lt;Inputs!$B$20,"work",IF(A26&lt;Inputs!$B$8,"retire","—"))</f>
        <v>work</v>
      </c>
      <c r="C26" s="18" t="n">
        <f aca="false">IF(B26&lt;&gt;"work",0,IF(A26-Inputs!$B$5&lt;Inputs!$B$13,Inputs!$B$11+(Inputs!$B$12-Inputs!$B$11)*(A26-Inputs!$B$5)/Inputs!$B$13,IF(A26-Inputs!$B$5&lt;Inputs!$B$13+Inputs!$B$14,Inputs!$B$12,Inputs!$B$15)))</f>
        <v>130000</v>
      </c>
      <c r="D26" s="18" t="n">
        <f aca="false">IF(C26&lt;=0,0,VLOOKUP(C26,Inputs!$A$39:$C$48,3,TRUE())+(C26-VLOOKUP(C26,Inputs!$A$39:$C$48,1,TRUE()))*VLOOKUP(C26,Inputs!$A$39:$C$48,2,TRUE()))</f>
        <v>32431.528</v>
      </c>
      <c r="E26" s="18" t="n">
        <f aca="false">C26-D26</f>
        <v>97568.472</v>
      </c>
      <c r="F26" s="18" t="n">
        <f aca="false">IF(B26="work",E26*Inputs!$B$16,0)</f>
        <v>27319.17216</v>
      </c>
      <c r="G26" s="18" t="n">
        <f aca="false">N25</f>
        <v>4052349.78690924</v>
      </c>
      <c r="H26" s="18" t="n">
        <f aca="false">IF(A26&gt;Inputs!$B$8,0,G26*Inputs!$B$19)</f>
        <v>283664.485083647</v>
      </c>
      <c r="I26" s="18" t="n">
        <f aca="false">IF(B26="work",F26,0)</f>
        <v>27319.17216</v>
      </c>
      <c r="J26" s="18" t="n">
        <f aca="false">IF(AND(A26&gt;=Inputs!$B$23,A26&lt;Inputs!$B$8),Inputs!$B$32,0)</f>
        <v>0</v>
      </c>
      <c r="K26" s="18" t="n">
        <f aca="false">IF(AND(A26&gt;=Inputs!$B$33,A26&lt;Inputs!$B$8),Inputs!$B$35,0)</f>
        <v>0</v>
      </c>
      <c r="L26" s="18" t="n">
        <f aca="false">IF(B26="retire",Summary!$B$11-J26-K26,0)</f>
        <v>0</v>
      </c>
      <c r="M26" s="18" t="n">
        <f aca="false">IF(B26="work",E26,IF(B26="retire",J26+K26+L26,0))</f>
        <v>97568.472</v>
      </c>
      <c r="N26" s="18" t="n">
        <f aca="false">IF(A26&gt;=Inputs!$B$8,0,G26*(1+Inputs!$B$19)+I26-L26)</f>
        <v>4363333.44415289</v>
      </c>
    </row>
    <row r="27" customFormat="false" ht="15" hidden="false" customHeight="false" outlineLevel="0" collapsed="false">
      <c r="A27" s="23" t="n">
        <f aca="false">A26+1</f>
        <v>54</v>
      </c>
      <c r="B27" s="21" t="str">
        <f aca="false">IF(A27&lt;Inputs!$B$20,"work",IF(A27&lt;Inputs!$B$8,"retire","—"))</f>
        <v>work</v>
      </c>
      <c r="C27" s="18" t="n">
        <f aca="false">IF(B27&lt;&gt;"work",0,IF(A27-Inputs!$B$5&lt;Inputs!$B$13,Inputs!$B$11+(Inputs!$B$12-Inputs!$B$11)*(A27-Inputs!$B$5)/Inputs!$B$13,IF(A27-Inputs!$B$5&lt;Inputs!$B$13+Inputs!$B$14,Inputs!$B$12,Inputs!$B$15)))</f>
        <v>130000</v>
      </c>
      <c r="D27" s="18" t="n">
        <f aca="false">IF(C27&lt;=0,0,VLOOKUP(C27,Inputs!$A$39:$C$48,3,TRUE())+(C27-VLOOKUP(C27,Inputs!$A$39:$C$48,1,TRUE()))*VLOOKUP(C27,Inputs!$A$39:$C$48,2,TRUE()))</f>
        <v>32431.528</v>
      </c>
      <c r="E27" s="18" t="n">
        <f aca="false">C27-D27</f>
        <v>97568.472</v>
      </c>
      <c r="F27" s="18" t="n">
        <f aca="false">IF(B27="work",E27*Inputs!$B$16,0)</f>
        <v>27319.17216</v>
      </c>
      <c r="G27" s="18" t="n">
        <f aca="false">N26</f>
        <v>4363333.44415289</v>
      </c>
      <c r="H27" s="18" t="n">
        <f aca="false">IF(A27&gt;Inputs!$B$8,0,G27*Inputs!$B$19)</f>
        <v>305433.341090702</v>
      </c>
      <c r="I27" s="18" t="n">
        <f aca="false">IF(B27="work",F27,0)</f>
        <v>27319.17216</v>
      </c>
      <c r="J27" s="18" t="n">
        <f aca="false">IF(AND(A27&gt;=Inputs!$B$23,A27&lt;Inputs!$B$8),Inputs!$B$32,0)</f>
        <v>0</v>
      </c>
      <c r="K27" s="18" t="n">
        <f aca="false">IF(AND(A27&gt;=Inputs!$B$33,A27&lt;Inputs!$B$8),Inputs!$B$35,0)</f>
        <v>0</v>
      </c>
      <c r="L27" s="18" t="n">
        <f aca="false">IF(B27="retire",Summary!$B$11-J27-K27,0)</f>
        <v>0</v>
      </c>
      <c r="M27" s="18" t="n">
        <f aca="false">IF(B27="work",E27,IF(B27="retire",J27+K27+L27,0))</f>
        <v>97568.472</v>
      </c>
      <c r="N27" s="18" t="n">
        <f aca="false">IF(A27&gt;=Inputs!$B$8,0,G27*(1+Inputs!$B$19)+I27-L27)</f>
        <v>4696085.95740359</v>
      </c>
    </row>
    <row r="28" customFormat="false" ht="15" hidden="false" customHeight="false" outlineLevel="0" collapsed="false">
      <c r="A28" s="23" t="n">
        <f aca="false">A27+1</f>
        <v>55</v>
      </c>
      <c r="B28" s="21" t="str">
        <f aca="false">IF(A28&lt;Inputs!$B$20,"work",IF(A28&lt;Inputs!$B$8,"retire","—"))</f>
        <v>work</v>
      </c>
      <c r="C28" s="18" t="n">
        <f aca="false">IF(B28&lt;&gt;"work",0,IF(A28-Inputs!$B$5&lt;Inputs!$B$13,Inputs!$B$11+(Inputs!$B$12-Inputs!$B$11)*(A28-Inputs!$B$5)/Inputs!$B$13,IF(A28-Inputs!$B$5&lt;Inputs!$B$13+Inputs!$B$14,Inputs!$B$12,Inputs!$B$15)))</f>
        <v>130000</v>
      </c>
      <c r="D28" s="18" t="n">
        <f aca="false">IF(C28&lt;=0,0,VLOOKUP(C28,Inputs!$A$39:$C$48,3,TRUE())+(C28-VLOOKUP(C28,Inputs!$A$39:$C$48,1,TRUE()))*VLOOKUP(C28,Inputs!$A$39:$C$48,2,TRUE()))</f>
        <v>32431.528</v>
      </c>
      <c r="E28" s="18" t="n">
        <f aca="false">C28-D28</f>
        <v>97568.472</v>
      </c>
      <c r="F28" s="18" t="n">
        <f aca="false">IF(B28="work",E28*Inputs!$B$16,0)</f>
        <v>27319.17216</v>
      </c>
      <c r="G28" s="18" t="n">
        <f aca="false">N27</f>
        <v>4696085.95740359</v>
      </c>
      <c r="H28" s="18" t="n">
        <f aca="false">IF(A28&gt;Inputs!$B$8,0,G28*Inputs!$B$19)</f>
        <v>328726.017018251</v>
      </c>
      <c r="I28" s="18" t="n">
        <f aca="false">IF(B28="work",F28,0)</f>
        <v>27319.17216</v>
      </c>
      <c r="J28" s="18" t="n">
        <f aca="false">IF(AND(A28&gt;=Inputs!$B$23,A28&lt;Inputs!$B$8),Inputs!$B$32,0)</f>
        <v>0</v>
      </c>
      <c r="K28" s="18" t="n">
        <f aca="false">IF(AND(A28&gt;=Inputs!$B$33,A28&lt;Inputs!$B$8),Inputs!$B$35,0)</f>
        <v>0</v>
      </c>
      <c r="L28" s="18" t="n">
        <f aca="false">IF(B28="retire",Summary!$B$11-J28-K28,0)</f>
        <v>0</v>
      </c>
      <c r="M28" s="18" t="n">
        <f aca="false">IF(B28="work",E28,IF(B28="retire",J28+K28+L28,0))</f>
        <v>97568.472</v>
      </c>
      <c r="N28" s="18" t="n">
        <f aca="false">IF(A28&gt;=Inputs!$B$8,0,G28*(1+Inputs!$B$19)+I28-L28)</f>
        <v>5052131.14658184</v>
      </c>
    </row>
    <row r="29" customFormat="false" ht="15" hidden="false" customHeight="false" outlineLevel="0" collapsed="false">
      <c r="A29" s="23" t="n">
        <f aca="false">A28+1</f>
        <v>56</v>
      </c>
      <c r="B29" s="21" t="str">
        <f aca="false">IF(A29&lt;Inputs!$B$20,"work",IF(A29&lt;Inputs!$B$8,"retire","—"))</f>
        <v>work</v>
      </c>
      <c r="C29" s="18" t="n">
        <f aca="false">IF(B29&lt;&gt;"work",0,IF(A29-Inputs!$B$5&lt;Inputs!$B$13,Inputs!$B$11+(Inputs!$B$12-Inputs!$B$11)*(A29-Inputs!$B$5)/Inputs!$B$13,IF(A29-Inputs!$B$5&lt;Inputs!$B$13+Inputs!$B$14,Inputs!$B$12,Inputs!$B$15)))</f>
        <v>130000</v>
      </c>
      <c r="D29" s="18" t="n">
        <f aca="false">IF(C29&lt;=0,0,VLOOKUP(C29,Inputs!$A$39:$C$48,3,TRUE())+(C29-VLOOKUP(C29,Inputs!$A$39:$C$48,1,TRUE()))*VLOOKUP(C29,Inputs!$A$39:$C$48,2,TRUE()))</f>
        <v>32431.528</v>
      </c>
      <c r="E29" s="18" t="n">
        <f aca="false">C29-D29</f>
        <v>97568.472</v>
      </c>
      <c r="F29" s="18" t="n">
        <f aca="false">IF(B29="work",E29*Inputs!$B$16,0)</f>
        <v>27319.17216</v>
      </c>
      <c r="G29" s="18" t="n">
        <f aca="false">N28</f>
        <v>5052131.14658184</v>
      </c>
      <c r="H29" s="18" t="n">
        <f aca="false">IF(A29&gt;Inputs!$B$8,0,G29*Inputs!$B$19)</f>
        <v>353649.180260729</v>
      </c>
      <c r="I29" s="18" t="n">
        <f aca="false">IF(B29="work",F29,0)</f>
        <v>27319.17216</v>
      </c>
      <c r="J29" s="18" t="n">
        <f aca="false">IF(AND(A29&gt;=Inputs!$B$23,A29&lt;Inputs!$B$8),Inputs!$B$32,0)</f>
        <v>0</v>
      </c>
      <c r="K29" s="18" t="n">
        <f aca="false">IF(AND(A29&gt;=Inputs!$B$33,A29&lt;Inputs!$B$8),Inputs!$B$35,0)</f>
        <v>0</v>
      </c>
      <c r="L29" s="18" t="n">
        <f aca="false">IF(B29="retire",Summary!$B$11-J29-K29,0)</f>
        <v>0</v>
      </c>
      <c r="M29" s="18" t="n">
        <f aca="false">IF(B29="work",E29,IF(B29="retire",J29+K29+L29,0))</f>
        <v>97568.472</v>
      </c>
      <c r="N29" s="18" t="n">
        <f aca="false">IF(A29&gt;=Inputs!$B$8,0,G29*(1+Inputs!$B$19)+I29-L29)</f>
        <v>5433099.49900257</v>
      </c>
    </row>
    <row r="30" customFormat="false" ht="15" hidden="false" customHeight="false" outlineLevel="0" collapsed="false">
      <c r="A30" s="23" t="n">
        <f aca="false">A29+1</f>
        <v>57</v>
      </c>
      <c r="B30" s="21" t="str">
        <f aca="false">IF(A30&lt;Inputs!$B$20,"work",IF(A30&lt;Inputs!$B$8,"retire","—"))</f>
        <v>work</v>
      </c>
      <c r="C30" s="18" t="n">
        <f aca="false">IF(B30&lt;&gt;"work",0,IF(A30-Inputs!$B$5&lt;Inputs!$B$13,Inputs!$B$11+(Inputs!$B$12-Inputs!$B$11)*(A30-Inputs!$B$5)/Inputs!$B$13,IF(A30-Inputs!$B$5&lt;Inputs!$B$13+Inputs!$B$14,Inputs!$B$12,Inputs!$B$15)))</f>
        <v>130000</v>
      </c>
      <c r="D30" s="18" t="n">
        <f aca="false">IF(C30&lt;=0,0,VLOOKUP(C30,Inputs!$A$39:$C$48,3,TRUE())+(C30-VLOOKUP(C30,Inputs!$A$39:$C$48,1,TRUE()))*VLOOKUP(C30,Inputs!$A$39:$C$48,2,TRUE()))</f>
        <v>32431.528</v>
      </c>
      <c r="E30" s="18" t="n">
        <f aca="false">C30-D30</f>
        <v>97568.472</v>
      </c>
      <c r="F30" s="18" t="n">
        <f aca="false">IF(B30="work",E30*Inputs!$B$16,0)</f>
        <v>27319.17216</v>
      </c>
      <c r="G30" s="18" t="n">
        <f aca="false">N29</f>
        <v>5433099.49900257</v>
      </c>
      <c r="H30" s="18" t="n">
        <f aca="false">IF(A30&gt;Inputs!$B$8,0,G30*Inputs!$B$19)</f>
        <v>380316.96493018</v>
      </c>
      <c r="I30" s="18" t="n">
        <f aca="false">IF(B30="work",F30,0)</f>
        <v>27319.17216</v>
      </c>
      <c r="J30" s="18" t="n">
        <f aca="false">IF(AND(A30&gt;=Inputs!$B$23,A30&lt;Inputs!$B$8),Inputs!$B$32,0)</f>
        <v>0</v>
      </c>
      <c r="K30" s="18" t="n">
        <f aca="false">IF(AND(A30&gt;=Inputs!$B$33,A30&lt;Inputs!$B$8),Inputs!$B$35,0)</f>
        <v>0</v>
      </c>
      <c r="L30" s="18" t="n">
        <f aca="false">IF(B30="retire",Summary!$B$11-J30-K30,0)</f>
        <v>0</v>
      </c>
      <c r="M30" s="18" t="n">
        <f aca="false">IF(B30="work",E30,IF(B30="retire",J30+K30+L30,0))</f>
        <v>97568.472</v>
      </c>
      <c r="N30" s="18" t="n">
        <f aca="false">IF(A30&gt;=Inputs!$B$8,0,G30*(1+Inputs!$B$19)+I30-L30)</f>
        <v>5840735.63609275</v>
      </c>
    </row>
    <row r="31" customFormat="false" ht="15" hidden="false" customHeight="false" outlineLevel="0" collapsed="false">
      <c r="A31" s="23" t="n">
        <f aca="false">A30+1</f>
        <v>58</v>
      </c>
      <c r="B31" s="21" t="str">
        <f aca="false">IF(A31&lt;Inputs!$B$20,"work",IF(A31&lt;Inputs!$B$8,"retire","—"))</f>
        <v>work</v>
      </c>
      <c r="C31" s="18" t="n">
        <f aca="false">IF(B31&lt;&gt;"work",0,IF(A31-Inputs!$B$5&lt;Inputs!$B$13,Inputs!$B$11+(Inputs!$B$12-Inputs!$B$11)*(A31-Inputs!$B$5)/Inputs!$B$13,IF(A31-Inputs!$B$5&lt;Inputs!$B$13+Inputs!$B$14,Inputs!$B$12,Inputs!$B$15)))</f>
        <v>130000</v>
      </c>
      <c r="D31" s="18" t="n">
        <f aca="false">IF(C31&lt;=0,0,VLOOKUP(C31,Inputs!$A$39:$C$48,3,TRUE())+(C31-VLOOKUP(C31,Inputs!$A$39:$C$48,1,TRUE()))*VLOOKUP(C31,Inputs!$A$39:$C$48,2,TRUE()))</f>
        <v>32431.528</v>
      </c>
      <c r="E31" s="18" t="n">
        <f aca="false">C31-D31</f>
        <v>97568.472</v>
      </c>
      <c r="F31" s="18" t="n">
        <f aca="false">IF(B31="work",E31*Inputs!$B$16,0)</f>
        <v>27319.17216</v>
      </c>
      <c r="G31" s="18" t="n">
        <f aca="false">N30</f>
        <v>5840735.63609275</v>
      </c>
      <c r="H31" s="18" t="n">
        <f aca="false">IF(A31&gt;Inputs!$B$8,0,G31*Inputs!$B$19)</f>
        <v>408851.494526492</v>
      </c>
      <c r="I31" s="18" t="n">
        <f aca="false">IF(B31="work",F31,0)</f>
        <v>27319.17216</v>
      </c>
      <c r="J31" s="18" t="n">
        <f aca="false">IF(AND(A31&gt;=Inputs!$B$23,A31&lt;Inputs!$B$8),Inputs!$B$32,0)</f>
        <v>0</v>
      </c>
      <c r="K31" s="18" t="n">
        <f aca="false">IF(AND(A31&gt;=Inputs!$B$33,A31&lt;Inputs!$B$8),Inputs!$B$35,0)</f>
        <v>0</v>
      </c>
      <c r="L31" s="18" t="n">
        <f aca="false">IF(B31="retire",Summary!$B$11-J31-K31,0)</f>
        <v>0</v>
      </c>
      <c r="M31" s="18" t="n">
        <f aca="false">IF(B31="work",E31,IF(B31="retire",J31+K31+L31,0))</f>
        <v>97568.472</v>
      </c>
      <c r="N31" s="18" t="n">
        <f aca="false">IF(A31&gt;=Inputs!$B$8,0,G31*(1+Inputs!$B$19)+I31-L31)</f>
        <v>6276906.30277924</v>
      </c>
    </row>
    <row r="32" customFormat="false" ht="15" hidden="false" customHeight="false" outlineLevel="0" collapsed="false">
      <c r="A32" s="23" t="n">
        <f aca="false">A31+1</f>
        <v>59</v>
      </c>
      <c r="B32" s="21" t="str">
        <f aca="false">IF(A32&lt;Inputs!$B$20,"work",IF(A32&lt;Inputs!$B$8,"retire","—"))</f>
        <v>work</v>
      </c>
      <c r="C32" s="18" t="n">
        <f aca="false">IF(B32&lt;&gt;"work",0,IF(A32-Inputs!$B$5&lt;Inputs!$B$13,Inputs!$B$11+(Inputs!$B$12-Inputs!$B$11)*(A32-Inputs!$B$5)/Inputs!$B$13,IF(A32-Inputs!$B$5&lt;Inputs!$B$13+Inputs!$B$14,Inputs!$B$12,Inputs!$B$15)))</f>
        <v>130000</v>
      </c>
      <c r="D32" s="18" t="n">
        <f aca="false">IF(C32&lt;=0,0,VLOOKUP(C32,Inputs!$A$39:$C$48,3,TRUE())+(C32-VLOOKUP(C32,Inputs!$A$39:$C$48,1,TRUE()))*VLOOKUP(C32,Inputs!$A$39:$C$48,2,TRUE()))</f>
        <v>32431.528</v>
      </c>
      <c r="E32" s="18" t="n">
        <f aca="false">C32-D32</f>
        <v>97568.472</v>
      </c>
      <c r="F32" s="18" t="n">
        <f aca="false">IF(B32="work",E32*Inputs!$B$16,0)</f>
        <v>27319.17216</v>
      </c>
      <c r="G32" s="18" t="n">
        <f aca="false">N31</f>
        <v>6276906.30277924</v>
      </c>
      <c r="H32" s="18" t="n">
        <f aca="false">IF(A32&gt;Inputs!$B$8,0,G32*Inputs!$B$19)</f>
        <v>439383.441194547</v>
      </c>
      <c r="I32" s="18" t="n">
        <f aca="false">IF(B32="work",F32,0)</f>
        <v>27319.17216</v>
      </c>
      <c r="J32" s="18" t="n">
        <f aca="false">IF(AND(A32&gt;=Inputs!$B$23,A32&lt;Inputs!$B$8),Inputs!$B$32,0)</f>
        <v>0</v>
      </c>
      <c r="K32" s="18" t="n">
        <f aca="false">IF(AND(A32&gt;=Inputs!$B$33,A32&lt;Inputs!$B$8),Inputs!$B$35,0)</f>
        <v>0</v>
      </c>
      <c r="L32" s="18" t="n">
        <f aca="false">IF(B32="retire",Summary!$B$11-J32-K32,0)</f>
        <v>0</v>
      </c>
      <c r="M32" s="18" t="n">
        <f aca="false">IF(B32="work",E32,IF(B32="retire",J32+K32+L32,0))</f>
        <v>97568.472</v>
      </c>
      <c r="N32" s="18" t="n">
        <f aca="false">IF(A32&gt;=Inputs!$B$8,0,G32*(1+Inputs!$B$19)+I32-L32)</f>
        <v>6743608.91613379</v>
      </c>
    </row>
    <row r="33" customFormat="false" ht="15" hidden="false" customHeight="false" outlineLevel="0" collapsed="false">
      <c r="A33" s="23" t="n">
        <f aca="false">A32+1</f>
        <v>60</v>
      </c>
      <c r="B33" s="21" t="str">
        <f aca="false">IF(A33&lt;Inputs!$B$20,"work",IF(A33&lt;Inputs!$B$8,"retire","—"))</f>
        <v>retire</v>
      </c>
      <c r="C33" s="18" t="n">
        <f aca="false">IF(B33&lt;&gt;"work",0,IF(A33-Inputs!$B$5&lt;Inputs!$B$13,Inputs!$B$11+(Inputs!$B$12-Inputs!$B$11)*(A33-Inputs!$B$5)/Inputs!$B$13,IF(A33-Inputs!$B$5&lt;Inputs!$B$13+Inputs!$B$14,Inputs!$B$12,Inputs!$B$15)))</f>
        <v>0</v>
      </c>
      <c r="D33" s="18" t="n">
        <f aca="false">IF(C33&lt;=0,0,VLOOKUP(C33,Inputs!$A$39:$C$48,3,TRUE())+(C33-VLOOKUP(C33,Inputs!$A$39:$C$48,1,TRUE()))*VLOOKUP(C33,Inputs!$A$39:$C$48,2,TRUE()))</f>
        <v>0</v>
      </c>
      <c r="E33" s="18" t="n">
        <f aca="false">C33-D33</f>
        <v>0</v>
      </c>
      <c r="F33" s="18" t="n">
        <f aca="false">IF(B33="work",E33*Inputs!$B$16,0)</f>
        <v>0</v>
      </c>
      <c r="G33" s="18" t="n">
        <f aca="false">N32</f>
        <v>6743608.91613379</v>
      </c>
      <c r="H33" s="18" t="n">
        <f aca="false">IF(A33&gt;Inputs!$B$8,0,G33*Inputs!$B$19)</f>
        <v>472052.624129365</v>
      </c>
      <c r="I33" s="18" t="n">
        <f aca="false">IF(B33="work",F33,0)</f>
        <v>0</v>
      </c>
      <c r="J33" s="18" t="n">
        <f aca="false">IF(AND(A33&gt;=Inputs!$B$23,A33&lt;Inputs!$B$8),Inputs!$B$32,0)</f>
        <v>0</v>
      </c>
      <c r="K33" s="18" t="n">
        <f aca="false">IF(AND(A33&gt;=Inputs!$B$33,A33&lt;Inputs!$B$8),Inputs!$B$35,0)</f>
        <v>0</v>
      </c>
      <c r="L33" s="18" t="n">
        <f aca="false">IF(B33="retire",Summary!$B$11-J33-K33,0)</f>
        <v>531912.626929062</v>
      </c>
      <c r="M33" s="18" t="n">
        <f aca="false">IF(B33="work",E33,IF(B33="retire",J33+K33+L33,0))</f>
        <v>531912.626929062</v>
      </c>
      <c r="N33" s="18" t="n">
        <f aca="false">IF(A33&gt;=Inputs!$B$8,0,G33*(1+Inputs!$B$19)+I33-L33)</f>
        <v>6683748.91333409</v>
      </c>
    </row>
    <row r="34" customFormat="false" ht="15" hidden="false" customHeight="false" outlineLevel="0" collapsed="false">
      <c r="A34" s="23" t="n">
        <f aca="false">A33+1</f>
        <v>61</v>
      </c>
      <c r="B34" s="21" t="str">
        <f aca="false">IF(A34&lt;Inputs!$B$20,"work",IF(A34&lt;Inputs!$B$8,"retire","—"))</f>
        <v>retire</v>
      </c>
      <c r="C34" s="18" t="n">
        <f aca="false">IF(B34&lt;&gt;"work",0,IF(A34-Inputs!$B$5&lt;Inputs!$B$13,Inputs!$B$11+(Inputs!$B$12-Inputs!$B$11)*(A34-Inputs!$B$5)/Inputs!$B$13,IF(A34-Inputs!$B$5&lt;Inputs!$B$13+Inputs!$B$14,Inputs!$B$12,Inputs!$B$15)))</f>
        <v>0</v>
      </c>
      <c r="D34" s="18" t="n">
        <f aca="false">IF(C34&lt;=0,0,VLOOKUP(C34,Inputs!$A$39:$C$48,3,TRUE())+(C34-VLOOKUP(C34,Inputs!$A$39:$C$48,1,TRUE()))*VLOOKUP(C34,Inputs!$A$39:$C$48,2,TRUE()))</f>
        <v>0</v>
      </c>
      <c r="E34" s="18" t="n">
        <f aca="false">C34-D34</f>
        <v>0</v>
      </c>
      <c r="F34" s="18" t="n">
        <f aca="false">IF(B34="work",E34*Inputs!$B$16,0)</f>
        <v>0</v>
      </c>
      <c r="G34" s="18" t="n">
        <f aca="false">N33</f>
        <v>6683748.91333409</v>
      </c>
      <c r="H34" s="18" t="n">
        <f aca="false">IF(A34&gt;Inputs!$B$8,0,G34*Inputs!$B$19)</f>
        <v>467862.423933386</v>
      </c>
      <c r="I34" s="18" t="n">
        <f aca="false">IF(B34="work",F34,0)</f>
        <v>0</v>
      </c>
      <c r="J34" s="18" t="n">
        <f aca="false">IF(AND(A34&gt;=Inputs!$B$23,A34&lt;Inputs!$B$8),Inputs!$B$32,0)</f>
        <v>0</v>
      </c>
      <c r="K34" s="18" t="n">
        <f aca="false">IF(AND(A34&gt;=Inputs!$B$33,A34&lt;Inputs!$B$8),Inputs!$B$35,0)</f>
        <v>0</v>
      </c>
      <c r="L34" s="18" t="n">
        <f aca="false">IF(B34="retire",Summary!$B$11-J34-K34,0)</f>
        <v>531912.626929062</v>
      </c>
      <c r="M34" s="18" t="n">
        <f aca="false">IF(B34="work",E34,IF(B34="retire",J34+K34+L34,0))</f>
        <v>531912.626929062</v>
      </c>
      <c r="N34" s="18" t="n">
        <f aca="false">IF(A34&gt;=Inputs!$B$8,0,G34*(1+Inputs!$B$19)+I34-L34)</f>
        <v>6619698.71033842</v>
      </c>
    </row>
    <row r="35" customFormat="false" ht="15" hidden="false" customHeight="false" outlineLevel="0" collapsed="false">
      <c r="A35" s="23" t="n">
        <f aca="false">A34+1</f>
        <v>62</v>
      </c>
      <c r="B35" s="21" t="str">
        <f aca="false">IF(A35&lt;Inputs!$B$20,"work",IF(A35&lt;Inputs!$B$8,"retire","—"))</f>
        <v>retire</v>
      </c>
      <c r="C35" s="18" t="n">
        <f aca="false">IF(B35&lt;&gt;"work",0,IF(A35-Inputs!$B$5&lt;Inputs!$B$13,Inputs!$B$11+(Inputs!$B$12-Inputs!$B$11)*(A35-Inputs!$B$5)/Inputs!$B$13,IF(A35-Inputs!$B$5&lt;Inputs!$B$13+Inputs!$B$14,Inputs!$B$12,Inputs!$B$15)))</f>
        <v>0</v>
      </c>
      <c r="D35" s="18" t="n">
        <f aca="false">IF(C35&lt;=0,0,VLOOKUP(C35,Inputs!$A$39:$C$48,3,TRUE())+(C35-VLOOKUP(C35,Inputs!$A$39:$C$48,1,TRUE()))*VLOOKUP(C35,Inputs!$A$39:$C$48,2,TRUE()))</f>
        <v>0</v>
      </c>
      <c r="E35" s="18" t="n">
        <f aca="false">C35-D35</f>
        <v>0</v>
      </c>
      <c r="F35" s="18" t="n">
        <f aca="false">IF(B35="work",E35*Inputs!$B$16,0)</f>
        <v>0</v>
      </c>
      <c r="G35" s="18" t="n">
        <f aca="false">N34</f>
        <v>6619698.71033842</v>
      </c>
      <c r="H35" s="18" t="n">
        <f aca="false">IF(A35&gt;Inputs!$B$8,0,G35*Inputs!$B$19)</f>
        <v>463378.909723689</v>
      </c>
      <c r="I35" s="18" t="n">
        <f aca="false">IF(B35="work",F35,0)</f>
        <v>0</v>
      </c>
      <c r="J35" s="18" t="n">
        <f aca="false">IF(AND(A35&gt;=Inputs!$B$23,A35&lt;Inputs!$B$8),Inputs!$B$32,0)</f>
        <v>0</v>
      </c>
      <c r="K35" s="18" t="n">
        <f aca="false">IF(AND(A35&gt;=Inputs!$B$33,A35&lt;Inputs!$B$8),Inputs!$B$35,0)</f>
        <v>0</v>
      </c>
      <c r="L35" s="18" t="n">
        <f aca="false">IF(B35="retire",Summary!$B$11-J35-K35,0)</f>
        <v>531912.626929062</v>
      </c>
      <c r="M35" s="18" t="n">
        <f aca="false">IF(B35="work",E35,IF(B35="retire",J35+K35+L35,0))</f>
        <v>531912.626929062</v>
      </c>
      <c r="N35" s="18" t="n">
        <f aca="false">IF(A35&gt;=Inputs!$B$8,0,G35*(1+Inputs!$B$19)+I35-L35)</f>
        <v>6551164.99313304</v>
      </c>
    </row>
    <row r="36" customFormat="false" ht="15" hidden="false" customHeight="false" outlineLevel="0" collapsed="false">
      <c r="A36" s="23" t="n">
        <f aca="false">A35+1</f>
        <v>63</v>
      </c>
      <c r="B36" s="21" t="str">
        <f aca="false">IF(A36&lt;Inputs!$B$20,"work",IF(A36&lt;Inputs!$B$8,"retire","—"))</f>
        <v>retire</v>
      </c>
      <c r="C36" s="18" t="n">
        <f aca="false">IF(B36&lt;&gt;"work",0,IF(A36-Inputs!$B$5&lt;Inputs!$B$13,Inputs!$B$11+(Inputs!$B$12-Inputs!$B$11)*(A36-Inputs!$B$5)/Inputs!$B$13,IF(A36-Inputs!$B$5&lt;Inputs!$B$13+Inputs!$B$14,Inputs!$B$12,Inputs!$B$15)))</f>
        <v>0</v>
      </c>
      <c r="D36" s="18" t="n">
        <f aca="false">IF(C36&lt;=0,0,VLOOKUP(C36,Inputs!$A$39:$C$48,3,TRUE())+(C36-VLOOKUP(C36,Inputs!$A$39:$C$48,1,TRUE()))*VLOOKUP(C36,Inputs!$A$39:$C$48,2,TRUE()))</f>
        <v>0</v>
      </c>
      <c r="E36" s="18" t="n">
        <f aca="false">C36-D36</f>
        <v>0</v>
      </c>
      <c r="F36" s="18" t="n">
        <f aca="false">IF(B36="work",E36*Inputs!$B$16,0)</f>
        <v>0</v>
      </c>
      <c r="G36" s="18" t="n">
        <f aca="false">N35</f>
        <v>6551164.99313304</v>
      </c>
      <c r="H36" s="18" t="n">
        <f aca="false">IF(A36&gt;Inputs!$B$8,0,G36*Inputs!$B$19)</f>
        <v>458581.549519313</v>
      </c>
      <c r="I36" s="18" t="n">
        <f aca="false">IF(B36="work",F36,0)</f>
        <v>0</v>
      </c>
      <c r="J36" s="18" t="n">
        <f aca="false">IF(AND(A36&gt;=Inputs!$B$23,A36&lt;Inputs!$B$8),Inputs!$B$32,0)</f>
        <v>0</v>
      </c>
      <c r="K36" s="18" t="n">
        <f aca="false">IF(AND(A36&gt;=Inputs!$B$33,A36&lt;Inputs!$B$8),Inputs!$B$35,0)</f>
        <v>0</v>
      </c>
      <c r="L36" s="18" t="n">
        <f aca="false">IF(B36="retire",Summary!$B$11-J36-K36,0)</f>
        <v>531912.626929062</v>
      </c>
      <c r="M36" s="18" t="n">
        <f aca="false">IF(B36="work",E36,IF(B36="retire",J36+K36+L36,0))</f>
        <v>531912.626929062</v>
      </c>
      <c r="N36" s="18" t="n">
        <f aca="false">IF(A36&gt;=Inputs!$B$8,0,G36*(1+Inputs!$B$19)+I36-L36)</f>
        <v>6477833.9157233</v>
      </c>
    </row>
    <row r="37" customFormat="false" ht="15" hidden="false" customHeight="false" outlineLevel="0" collapsed="false">
      <c r="A37" s="23" t="n">
        <f aca="false">A36+1</f>
        <v>64</v>
      </c>
      <c r="B37" s="21" t="str">
        <f aca="false">IF(A37&lt;Inputs!$B$20,"work",IF(A37&lt;Inputs!$B$8,"retire","—"))</f>
        <v>retire</v>
      </c>
      <c r="C37" s="18" t="n">
        <f aca="false">IF(B37&lt;&gt;"work",0,IF(A37-Inputs!$B$5&lt;Inputs!$B$13,Inputs!$B$11+(Inputs!$B$12-Inputs!$B$11)*(A37-Inputs!$B$5)/Inputs!$B$13,IF(A37-Inputs!$B$5&lt;Inputs!$B$13+Inputs!$B$14,Inputs!$B$12,Inputs!$B$15)))</f>
        <v>0</v>
      </c>
      <c r="D37" s="18" t="n">
        <f aca="false">IF(C37&lt;=0,0,VLOOKUP(C37,Inputs!$A$39:$C$48,3,TRUE())+(C37-VLOOKUP(C37,Inputs!$A$39:$C$48,1,TRUE()))*VLOOKUP(C37,Inputs!$A$39:$C$48,2,TRUE()))</f>
        <v>0</v>
      </c>
      <c r="E37" s="18" t="n">
        <f aca="false">C37-D37</f>
        <v>0</v>
      </c>
      <c r="F37" s="18" t="n">
        <f aca="false">IF(B37="work",E37*Inputs!$B$16,0)</f>
        <v>0</v>
      </c>
      <c r="G37" s="18" t="n">
        <f aca="false">N36</f>
        <v>6477833.9157233</v>
      </c>
      <c r="H37" s="18" t="n">
        <f aca="false">IF(A37&gt;Inputs!$B$8,0,G37*Inputs!$B$19)</f>
        <v>453448.374100631</v>
      </c>
      <c r="I37" s="18" t="n">
        <f aca="false">IF(B37="work",F37,0)</f>
        <v>0</v>
      </c>
      <c r="J37" s="18" t="n">
        <f aca="false">IF(AND(A37&gt;=Inputs!$B$23,A37&lt;Inputs!$B$8),Inputs!$B$32,0)</f>
        <v>0</v>
      </c>
      <c r="K37" s="18" t="n">
        <f aca="false">IF(AND(A37&gt;=Inputs!$B$33,A37&lt;Inputs!$B$8),Inputs!$B$35,0)</f>
        <v>0</v>
      </c>
      <c r="L37" s="18" t="n">
        <f aca="false">IF(B37="retire",Summary!$B$11-J37-K37,0)</f>
        <v>531912.626929062</v>
      </c>
      <c r="M37" s="18" t="n">
        <f aca="false">IF(B37="work",E37,IF(B37="retire",J37+K37+L37,0))</f>
        <v>531912.626929062</v>
      </c>
      <c r="N37" s="18" t="n">
        <f aca="false">IF(A37&gt;=Inputs!$B$8,0,G37*(1+Inputs!$B$19)+I37-L37)</f>
        <v>6399369.66289487</v>
      </c>
    </row>
    <row r="38" customFormat="false" ht="15" hidden="false" customHeight="false" outlineLevel="0" collapsed="false">
      <c r="A38" s="23" t="n">
        <f aca="false">A37+1</f>
        <v>65</v>
      </c>
      <c r="B38" s="21" t="str">
        <f aca="false">IF(A38&lt;Inputs!$B$20,"work",IF(A38&lt;Inputs!$B$8,"retire","—"))</f>
        <v>retire</v>
      </c>
      <c r="C38" s="18" t="n">
        <f aca="false">IF(B38&lt;&gt;"work",0,IF(A38-Inputs!$B$5&lt;Inputs!$B$13,Inputs!$B$11+(Inputs!$B$12-Inputs!$B$11)*(A38-Inputs!$B$5)/Inputs!$B$13,IF(A38-Inputs!$B$5&lt;Inputs!$B$13+Inputs!$B$14,Inputs!$B$12,Inputs!$B$15)))</f>
        <v>0</v>
      </c>
      <c r="D38" s="18" t="n">
        <f aca="false">IF(C38&lt;=0,0,VLOOKUP(C38,Inputs!$A$39:$C$48,3,TRUE())+(C38-VLOOKUP(C38,Inputs!$A$39:$C$48,1,TRUE()))*VLOOKUP(C38,Inputs!$A$39:$C$48,2,TRUE()))</f>
        <v>0</v>
      </c>
      <c r="E38" s="18" t="n">
        <f aca="false">C38-D38</f>
        <v>0</v>
      </c>
      <c r="F38" s="18" t="n">
        <f aca="false">IF(B38="work",E38*Inputs!$B$16,0)</f>
        <v>0</v>
      </c>
      <c r="G38" s="18" t="n">
        <f aca="false">N37</f>
        <v>6399369.66289487</v>
      </c>
      <c r="H38" s="18" t="n">
        <f aca="false">IF(A38&gt;Inputs!$B$8,0,G38*Inputs!$B$19)</f>
        <v>447955.876402641</v>
      </c>
      <c r="I38" s="18" t="n">
        <f aca="false">IF(B38="work",F38,0)</f>
        <v>0</v>
      </c>
      <c r="J38" s="18" t="n">
        <f aca="false">IF(AND(A38&gt;=Inputs!$B$23,A38&lt;Inputs!$B$8),Inputs!$B$32,0)</f>
        <v>0</v>
      </c>
      <c r="K38" s="18" t="n">
        <f aca="false">IF(AND(A38&gt;=Inputs!$B$33,A38&lt;Inputs!$B$8),Inputs!$B$35,0)</f>
        <v>9000</v>
      </c>
      <c r="L38" s="18" t="n">
        <f aca="false">IF(B38="retire",Summary!$B$11-J38-K38,0)</f>
        <v>522912.626929062</v>
      </c>
      <c r="M38" s="18" t="n">
        <f aca="false">IF(B38="work",E38,IF(B38="retire",J38+K38+L38,0))</f>
        <v>531912.626929062</v>
      </c>
      <c r="N38" s="18" t="n">
        <f aca="false">IF(A38&gt;=Inputs!$B$8,0,G38*(1+Inputs!$B$19)+I38-L38)</f>
        <v>6324412.91236845</v>
      </c>
    </row>
    <row r="39" customFormat="false" ht="15" hidden="false" customHeight="false" outlineLevel="0" collapsed="false">
      <c r="A39" s="23" t="n">
        <f aca="false">A38+1</f>
        <v>66</v>
      </c>
      <c r="B39" s="21" t="str">
        <f aca="false">IF(A39&lt;Inputs!$B$20,"work",IF(A39&lt;Inputs!$B$8,"retire","—"))</f>
        <v>retire</v>
      </c>
      <c r="C39" s="18" t="n">
        <f aca="false">IF(B39&lt;&gt;"work",0,IF(A39-Inputs!$B$5&lt;Inputs!$B$13,Inputs!$B$11+(Inputs!$B$12-Inputs!$B$11)*(A39-Inputs!$B$5)/Inputs!$B$13,IF(A39-Inputs!$B$5&lt;Inputs!$B$13+Inputs!$B$14,Inputs!$B$12,Inputs!$B$15)))</f>
        <v>0</v>
      </c>
      <c r="D39" s="18" t="n">
        <f aca="false">IF(C39&lt;=0,0,VLOOKUP(C39,Inputs!$A$39:$C$48,3,TRUE())+(C39-VLOOKUP(C39,Inputs!$A$39:$C$48,1,TRUE()))*VLOOKUP(C39,Inputs!$A$39:$C$48,2,TRUE()))</f>
        <v>0</v>
      </c>
      <c r="E39" s="18" t="n">
        <f aca="false">C39-D39</f>
        <v>0</v>
      </c>
      <c r="F39" s="18" t="n">
        <f aca="false">IF(B39="work",E39*Inputs!$B$16,0)</f>
        <v>0</v>
      </c>
      <c r="G39" s="18" t="n">
        <f aca="false">N38</f>
        <v>6324412.91236845</v>
      </c>
      <c r="H39" s="18" t="n">
        <f aca="false">IF(A39&gt;Inputs!$B$8,0,G39*Inputs!$B$19)</f>
        <v>442708.903865791</v>
      </c>
      <c r="I39" s="18" t="n">
        <f aca="false">IF(B39="work",F39,0)</f>
        <v>0</v>
      </c>
      <c r="J39" s="18" t="n">
        <f aca="false">IF(AND(A39&gt;=Inputs!$B$23,A39&lt;Inputs!$B$8),Inputs!$B$32,0)</f>
        <v>0</v>
      </c>
      <c r="K39" s="18" t="n">
        <f aca="false">IF(AND(A39&gt;=Inputs!$B$33,A39&lt;Inputs!$B$8),Inputs!$B$35,0)</f>
        <v>9000</v>
      </c>
      <c r="L39" s="18" t="n">
        <f aca="false">IF(B39="retire",Summary!$B$11-J39-K39,0)</f>
        <v>522912.626929062</v>
      </c>
      <c r="M39" s="18" t="n">
        <f aca="false">IF(B39="work",E39,IF(B39="retire",J39+K39+L39,0))</f>
        <v>531912.626929062</v>
      </c>
      <c r="N39" s="18" t="n">
        <f aca="false">IF(A39&gt;=Inputs!$B$8,0,G39*(1+Inputs!$B$19)+I39-L39)</f>
        <v>6244209.18930518</v>
      </c>
    </row>
    <row r="40" customFormat="false" ht="15" hidden="false" customHeight="false" outlineLevel="0" collapsed="false">
      <c r="A40" s="23" t="n">
        <f aca="false">A39+1</f>
        <v>67</v>
      </c>
      <c r="B40" s="21" t="str">
        <f aca="false">IF(A40&lt;Inputs!$B$20,"work",IF(A40&lt;Inputs!$B$8,"retire","—"))</f>
        <v>retire</v>
      </c>
      <c r="C40" s="18" t="n">
        <f aca="false">IF(B40&lt;&gt;"work",0,IF(A40-Inputs!$B$5&lt;Inputs!$B$13,Inputs!$B$11+(Inputs!$B$12-Inputs!$B$11)*(A40-Inputs!$B$5)/Inputs!$B$13,IF(A40-Inputs!$B$5&lt;Inputs!$B$13+Inputs!$B$14,Inputs!$B$12,Inputs!$B$15)))</f>
        <v>0</v>
      </c>
      <c r="D40" s="18" t="n">
        <f aca="false">IF(C40&lt;=0,0,VLOOKUP(C40,Inputs!$A$39:$C$48,3,TRUE())+(C40-VLOOKUP(C40,Inputs!$A$39:$C$48,1,TRUE()))*VLOOKUP(C40,Inputs!$A$39:$C$48,2,TRUE()))</f>
        <v>0</v>
      </c>
      <c r="E40" s="18" t="n">
        <f aca="false">C40-D40</f>
        <v>0</v>
      </c>
      <c r="F40" s="18" t="n">
        <f aca="false">IF(B40="work",E40*Inputs!$B$16,0)</f>
        <v>0</v>
      </c>
      <c r="G40" s="18" t="n">
        <f aca="false">N39</f>
        <v>6244209.18930518</v>
      </c>
      <c r="H40" s="18" t="n">
        <f aca="false">IF(A40&gt;Inputs!$B$8,0,G40*Inputs!$B$19)</f>
        <v>437094.643251362</v>
      </c>
      <c r="I40" s="18" t="n">
        <f aca="false">IF(B40="work",F40,0)</f>
        <v>0</v>
      </c>
      <c r="J40" s="18" t="n">
        <f aca="false">IF(AND(A40&gt;=Inputs!$B$23,A40&lt;Inputs!$B$8),Inputs!$B$32,0)</f>
        <v>0</v>
      </c>
      <c r="K40" s="18" t="n">
        <f aca="false">IF(AND(A40&gt;=Inputs!$B$33,A40&lt;Inputs!$B$8),Inputs!$B$35,0)</f>
        <v>9000</v>
      </c>
      <c r="L40" s="18" t="n">
        <f aca="false">IF(B40="retire",Summary!$B$11-J40-K40,0)</f>
        <v>522912.626929062</v>
      </c>
      <c r="M40" s="18" t="n">
        <f aca="false">IF(B40="work",E40,IF(B40="retire",J40+K40+L40,0))</f>
        <v>531912.626929062</v>
      </c>
      <c r="N40" s="18" t="n">
        <f aca="false">IF(A40&gt;=Inputs!$B$8,0,G40*(1+Inputs!$B$19)+I40-L40)</f>
        <v>6158391.20562748</v>
      </c>
    </row>
    <row r="41" customFormat="false" ht="15" hidden="false" customHeight="false" outlineLevel="0" collapsed="false">
      <c r="A41" s="23" t="n">
        <f aca="false">A40+1</f>
        <v>68</v>
      </c>
      <c r="B41" s="21" t="str">
        <f aca="false">IF(A41&lt;Inputs!$B$20,"work",IF(A41&lt;Inputs!$B$8,"retire","—"))</f>
        <v>retire</v>
      </c>
      <c r="C41" s="18" t="n">
        <f aca="false">IF(B41&lt;&gt;"work",0,IF(A41-Inputs!$B$5&lt;Inputs!$B$13,Inputs!$B$11+(Inputs!$B$12-Inputs!$B$11)*(A41-Inputs!$B$5)/Inputs!$B$13,IF(A41-Inputs!$B$5&lt;Inputs!$B$13+Inputs!$B$14,Inputs!$B$12,Inputs!$B$15)))</f>
        <v>0</v>
      </c>
      <c r="D41" s="18" t="n">
        <f aca="false">IF(C41&lt;=0,0,VLOOKUP(C41,Inputs!$A$39:$C$48,3,TRUE())+(C41-VLOOKUP(C41,Inputs!$A$39:$C$48,1,TRUE()))*VLOOKUP(C41,Inputs!$A$39:$C$48,2,TRUE()))</f>
        <v>0</v>
      </c>
      <c r="E41" s="18" t="n">
        <f aca="false">C41-D41</f>
        <v>0</v>
      </c>
      <c r="F41" s="18" t="n">
        <f aca="false">IF(B41="work",E41*Inputs!$B$16,0)</f>
        <v>0</v>
      </c>
      <c r="G41" s="18" t="n">
        <f aca="false">N40</f>
        <v>6158391.20562748</v>
      </c>
      <c r="H41" s="18" t="n">
        <f aca="false">IF(A41&gt;Inputs!$B$8,0,G41*Inputs!$B$19)</f>
        <v>431087.384393923</v>
      </c>
      <c r="I41" s="18" t="n">
        <f aca="false">IF(B41="work",F41,0)</f>
        <v>0</v>
      </c>
      <c r="J41" s="18" t="n">
        <f aca="false">IF(AND(A41&gt;=Inputs!$B$23,A41&lt;Inputs!$B$8),Inputs!$B$32,0)</f>
        <v>0</v>
      </c>
      <c r="K41" s="18" t="n">
        <f aca="false">IF(AND(A41&gt;=Inputs!$B$33,A41&lt;Inputs!$B$8),Inputs!$B$35,0)</f>
        <v>9000</v>
      </c>
      <c r="L41" s="18" t="n">
        <f aca="false">IF(B41="retire",Summary!$B$11-J41-K41,0)</f>
        <v>522912.626929062</v>
      </c>
      <c r="M41" s="18" t="n">
        <f aca="false">IF(B41="work",E41,IF(B41="retire",J41+K41+L41,0))</f>
        <v>531912.626929062</v>
      </c>
      <c r="N41" s="18" t="n">
        <f aca="false">IF(A41&gt;=Inputs!$B$8,0,G41*(1+Inputs!$B$19)+I41-L41)</f>
        <v>6066565.96309234</v>
      </c>
    </row>
    <row r="42" customFormat="false" ht="15" hidden="false" customHeight="false" outlineLevel="0" collapsed="false">
      <c r="A42" s="23" t="n">
        <f aca="false">A41+1</f>
        <v>69</v>
      </c>
      <c r="B42" s="21" t="str">
        <f aca="false">IF(A42&lt;Inputs!$B$20,"work",IF(A42&lt;Inputs!$B$8,"retire","—"))</f>
        <v>retire</v>
      </c>
      <c r="C42" s="18" t="n">
        <f aca="false">IF(B42&lt;&gt;"work",0,IF(A42-Inputs!$B$5&lt;Inputs!$B$13,Inputs!$B$11+(Inputs!$B$12-Inputs!$B$11)*(A42-Inputs!$B$5)/Inputs!$B$13,IF(A42-Inputs!$B$5&lt;Inputs!$B$13+Inputs!$B$14,Inputs!$B$12,Inputs!$B$15)))</f>
        <v>0</v>
      </c>
      <c r="D42" s="18" t="n">
        <f aca="false">IF(C42&lt;=0,0,VLOOKUP(C42,Inputs!$A$39:$C$48,3,TRUE())+(C42-VLOOKUP(C42,Inputs!$A$39:$C$48,1,TRUE()))*VLOOKUP(C42,Inputs!$A$39:$C$48,2,TRUE()))</f>
        <v>0</v>
      </c>
      <c r="E42" s="18" t="n">
        <f aca="false">C42-D42</f>
        <v>0</v>
      </c>
      <c r="F42" s="18" t="n">
        <f aca="false">IF(B42="work",E42*Inputs!$B$16,0)</f>
        <v>0</v>
      </c>
      <c r="G42" s="18" t="n">
        <f aca="false">N41</f>
        <v>6066565.96309234</v>
      </c>
      <c r="H42" s="18" t="n">
        <f aca="false">IF(A42&gt;Inputs!$B$8,0,G42*Inputs!$B$19)</f>
        <v>424659.617416464</v>
      </c>
      <c r="I42" s="18" t="n">
        <f aca="false">IF(B42="work",F42,0)</f>
        <v>0</v>
      </c>
      <c r="J42" s="18" t="n">
        <f aca="false">IF(AND(A42&gt;=Inputs!$B$23,A42&lt;Inputs!$B$8),Inputs!$B$32,0)</f>
        <v>0</v>
      </c>
      <c r="K42" s="18" t="n">
        <f aca="false">IF(AND(A42&gt;=Inputs!$B$33,A42&lt;Inputs!$B$8),Inputs!$B$35,0)</f>
        <v>9000</v>
      </c>
      <c r="L42" s="18" t="n">
        <f aca="false">IF(B42="retire",Summary!$B$11-J42-K42,0)</f>
        <v>522912.626929062</v>
      </c>
      <c r="M42" s="18" t="n">
        <f aca="false">IF(B42="work",E42,IF(B42="retire",J42+K42+L42,0))</f>
        <v>531912.626929062</v>
      </c>
      <c r="N42" s="18" t="n">
        <f aca="false">IF(A42&gt;=Inputs!$B$8,0,G42*(1+Inputs!$B$19)+I42-L42)</f>
        <v>5968312.95357974</v>
      </c>
    </row>
    <row r="43" customFormat="false" ht="15" hidden="false" customHeight="false" outlineLevel="0" collapsed="false">
      <c r="A43" s="23" t="n">
        <f aca="false">A42+1</f>
        <v>70</v>
      </c>
      <c r="B43" s="21" t="str">
        <f aca="false">IF(A43&lt;Inputs!$B$20,"work",IF(A43&lt;Inputs!$B$8,"retire","—"))</f>
        <v>retire</v>
      </c>
      <c r="C43" s="18" t="n">
        <f aca="false">IF(B43&lt;&gt;"work",0,IF(A43-Inputs!$B$5&lt;Inputs!$B$13,Inputs!$B$11+(Inputs!$B$12-Inputs!$B$11)*(A43-Inputs!$B$5)/Inputs!$B$13,IF(A43-Inputs!$B$5&lt;Inputs!$B$13+Inputs!$B$14,Inputs!$B$12,Inputs!$B$15)))</f>
        <v>0</v>
      </c>
      <c r="D43" s="18" t="n">
        <f aca="false">IF(C43&lt;=0,0,VLOOKUP(C43,Inputs!$A$39:$C$48,3,TRUE())+(C43-VLOOKUP(C43,Inputs!$A$39:$C$48,1,TRUE()))*VLOOKUP(C43,Inputs!$A$39:$C$48,2,TRUE()))</f>
        <v>0</v>
      </c>
      <c r="E43" s="18" t="n">
        <f aca="false">C43-D43</f>
        <v>0</v>
      </c>
      <c r="F43" s="18" t="n">
        <f aca="false">IF(B43="work",E43*Inputs!$B$16,0)</f>
        <v>0</v>
      </c>
      <c r="G43" s="18" t="n">
        <f aca="false">N42</f>
        <v>5968312.95357974</v>
      </c>
      <c r="H43" s="18" t="n">
        <f aca="false">IF(A43&gt;Inputs!$B$8,0,G43*Inputs!$B$19)</f>
        <v>417781.906750582</v>
      </c>
      <c r="I43" s="18" t="n">
        <f aca="false">IF(B43="work",F43,0)</f>
        <v>0</v>
      </c>
      <c r="J43" s="18" t="n">
        <f aca="false">IF(AND(A43&gt;=Inputs!$B$23,A43&lt;Inputs!$B$8),Inputs!$B$32,0)</f>
        <v>30438.9743589744</v>
      </c>
      <c r="K43" s="18" t="n">
        <f aca="false">IF(AND(A43&gt;=Inputs!$B$33,A43&lt;Inputs!$B$8),Inputs!$B$35,0)</f>
        <v>9000</v>
      </c>
      <c r="L43" s="18" t="n">
        <f aca="false">IF(B43="retire",Summary!$B$11-J43-K43,0)</f>
        <v>492473.652570087</v>
      </c>
      <c r="M43" s="18" t="n">
        <f aca="false">IF(B43="work",E43,IF(B43="retire",J43+K43+L43,0))</f>
        <v>531912.626929062</v>
      </c>
      <c r="N43" s="18" t="n">
        <f aca="false">IF(A43&gt;=Inputs!$B$8,0,G43*(1+Inputs!$B$19)+I43-L43)</f>
        <v>5893621.20776024</v>
      </c>
    </row>
    <row r="44" customFormat="false" ht="15" hidden="false" customHeight="false" outlineLevel="0" collapsed="false">
      <c r="A44" s="23" t="n">
        <f aca="false">A43+1</f>
        <v>71</v>
      </c>
      <c r="B44" s="21" t="str">
        <f aca="false">IF(A44&lt;Inputs!$B$20,"work",IF(A44&lt;Inputs!$B$8,"retire","—"))</f>
        <v>retire</v>
      </c>
      <c r="C44" s="18" t="n">
        <f aca="false">IF(B44&lt;&gt;"work",0,IF(A44-Inputs!$B$5&lt;Inputs!$B$13,Inputs!$B$11+(Inputs!$B$12-Inputs!$B$11)*(A44-Inputs!$B$5)/Inputs!$B$13,IF(A44-Inputs!$B$5&lt;Inputs!$B$13+Inputs!$B$14,Inputs!$B$12,Inputs!$B$15)))</f>
        <v>0</v>
      </c>
      <c r="D44" s="18" t="n">
        <f aca="false">IF(C44&lt;=0,0,VLOOKUP(C44,Inputs!$A$39:$C$48,3,TRUE())+(C44-VLOOKUP(C44,Inputs!$A$39:$C$48,1,TRUE()))*VLOOKUP(C44,Inputs!$A$39:$C$48,2,TRUE()))</f>
        <v>0</v>
      </c>
      <c r="E44" s="18" t="n">
        <f aca="false">C44-D44</f>
        <v>0</v>
      </c>
      <c r="F44" s="18" t="n">
        <f aca="false">IF(B44="work",E44*Inputs!$B$16,0)</f>
        <v>0</v>
      </c>
      <c r="G44" s="18" t="n">
        <f aca="false">N43</f>
        <v>5893621.20776024</v>
      </c>
      <c r="H44" s="18" t="n">
        <f aca="false">IF(A44&gt;Inputs!$B$8,0,G44*Inputs!$B$19)</f>
        <v>412553.484543217</v>
      </c>
      <c r="I44" s="18" t="n">
        <f aca="false">IF(B44="work",F44,0)</f>
        <v>0</v>
      </c>
      <c r="J44" s="18" t="n">
        <f aca="false">IF(AND(A44&gt;=Inputs!$B$23,A44&lt;Inputs!$B$8),Inputs!$B$32,0)</f>
        <v>30438.9743589744</v>
      </c>
      <c r="K44" s="18" t="n">
        <f aca="false">IF(AND(A44&gt;=Inputs!$B$33,A44&lt;Inputs!$B$8),Inputs!$B$35,0)</f>
        <v>9000</v>
      </c>
      <c r="L44" s="18" t="n">
        <f aca="false">IF(B44="retire",Summary!$B$11-J44-K44,0)</f>
        <v>492473.652570087</v>
      </c>
      <c r="M44" s="18" t="n">
        <f aca="false">IF(B44="work",E44,IF(B44="retire",J44+K44+L44,0))</f>
        <v>531912.626929062</v>
      </c>
      <c r="N44" s="18" t="n">
        <f aca="false">IF(A44&gt;=Inputs!$B$8,0,G44*(1+Inputs!$B$19)+I44-L44)</f>
        <v>5813701.03973336</v>
      </c>
    </row>
    <row r="45" customFormat="false" ht="15" hidden="false" customHeight="false" outlineLevel="0" collapsed="false">
      <c r="A45" s="23" t="n">
        <f aca="false">A44+1</f>
        <v>72</v>
      </c>
      <c r="B45" s="21" t="str">
        <f aca="false">IF(A45&lt;Inputs!$B$20,"work",IF(A45&lt;Inputs!$B$8,"retire","—"))</f>
        <v>retire</v>
      </c>
      <c r="C45" s="18" t="n">
        <f aca="false">IF(B45&lt;&gt;"work",0,IF(A45-Inputs!$B$5&lt;Inputs!$B$13,Inputs!$B$11+(Inputs!$B$12-Inputs!$B$11)*(A45-Inputs!$B$5)/Inputs!$B$13,IF(A45-Inputs!$B$5&lt;Inputs!$B$13+Inputs!$B$14,Inputs!$B$12,Inputs!$B$15)))</f>
        <v>0</v>
      </c>
      <c r="D45" s="18" t="n">
        <f aca="false">IF(C45&lt;=0,0,VLOOKUP(C45,Inputs!$A$39:$C$48,3,TRUE())+(C45-VLOOKUP(C45,Inputs!$A$39:$C$48,1,TRUE()))*VLOOKUP(C45,Inputs!$A$39:$C$48,2,TRUE()))</f>
        <v>0</v>
      </c>
      <c r="E45" s="18" t="n">
        <f aca="false">C45-D45</f>
        <v>0</v>
      </c>
      <c r="F45" s="18" t="n">
        <f aca="false">IF(B45="work",E45*Inputs!$B$16,0)</f>
        <v>0</v>
      </c>
      <c r="G45" s="18" t="n">
        <f aca="false">N44</f>
        <v>5813701.03973336</v>
      </c>
      <c r="H45" s="18" t="n">
        <f aca="false">IF(A45&gt;Inputs!$B$8,0,G45*Inputs!$B$19)</f>
        <v>406959.072781336</v>
      </c>
      <c r="I45" s="18" t="n">
        <f aca="false">IF(B45="work",F45,0)</f>
        <v>0</v>
      </c>
      <c r="J45" s="18" t="n">
        <f aca="false">IF(AND(A45&gt;=Inputs!$B$23,A45&lt;Inputs!$B$8),Inputs!$B$32,0)</f>
        <v>30438.9743589744</v>
      </c>
      <c r="K45" s="18" t="n">
        <f aca="false">IF(AND(A45&gt;=Inputs!$B$33,A45&lt;Inputs!$B$8),Inputs!$B$35,0)</f>
        <v>9000</v>
      </c>
      <c r="L45" s="18" t="n">
        <f aca="false">IF(B45="retire",Summary!$B$11-J45-K45,0)</f>
        <v>492473.652570087</v>
      </c>
      <c r="M45" s="18" t="n">
        <f aca="false">IF(B45="work",E45,IF(B45="retire",J45+K45+L45,0))</f>
        <v>531912.626929062</v>
      </c>
      <c r="N45" s="18" t="n">
        <f aca="false">IF(A45&gt;=Inputs!$B$8,0,G45*(1+Inputs!$B$19)+I45-L45)</f>
        <v>5728186.45994461</v>
      </c>
    </row>
    <row r="46" customFormat="false" ht="15" hidden="false" customHeight="false" outlineLevel="0" collapsed="false">
      <c r="A46" s="23" t="n">
        <f aca="false">A45+1</f>
        <v>73</v>
      </c>
      <c r="B46" s="21" t="str">
        <f aca="false">IF(A46&lt;Inputs!$B$20,"work",IF(A46&lt;Inputs!$B$8,"retire","—"))</f>
        <v>retire</v>
      </c>
      <c r="C46" s="18" t="n">
        <f aca="false">IF(B46&lt;&gt;"work",0,IF(A46-Inputs!$B$5&lt;Inputs!$B$13,Inputs!$B$11+(Inputs!$B$12-Inputs!$B$11)*(A46-Inputs!$B$5)/Inputs!$B$13,IF(A46-Inputs!$B$5&lt;Inputs!$B$13+Inputs!$B$14,Inputs!$B$12,Inputs!$B$15)))</f>
        <v>0</v>
      </c>
      <c r="D46" s="18" t="n">
        <f aca="false">IF(C46&lt;=0,0,VLOOKUP(C46,Inputs!$A$39:$C$48,3,TRUE())+(C46-VLOOKUP(C46,Inputs!$A$39:$C$48,1,TRUE()))*VLOOKUP(C46,Inputs!$A$39:$C$48,2,TRUE()))</f>
        <v>0</v>
      </c>
      <c r="E46" s="18" t="n">
        <f aca="false">C46-D46</f>
        <v>0</v>
      </c>
      <c r="F46" s="18" t="n">
        <f aca="false">IF(B46="work",E46*Inputs!$B$16,0)</f>
        <v>0</v>
      </c>
      <c r="G46" s="18" t="n">
        <f aca="false">N45</f>
        <v>5728186.45994461</v>
      </c>
      <c r="H46" s="18" t="n">
        <f aca="false">IF(A46&gt;Inputs!$B$8,0,G46*Inputs!$B$19)</f>
        <v>400973.052196123</v>
      </c>
      <c r="I46" s="18" t="n">
        <f aca="false">IF(B46="work",F46,0)</f>
        <v>0</v>
      </c>
      <c r="J46" s="18" t="n">
        <f aca="false">IF(AND(A46&gt;=Inputs!$B$23,A46&lt;Inputs!$B$8),Inputs!$B$32,0)</f>
        <v>30438.9743589744</v>
      </c>
      <c r="K46" s="18" t="n">
        <f aca="false">IF(AND(A46&gt;=Inputs!$B$33,A46&lt;Inputs!$B$8),Inputs!$B$35,0)</f>
        <v>9000</v>
      </c>
      <c r="L46" s="18" t="n">
        <f aca="false">IF(B46="retire",Summary!$B$11-J46-K46,0)</f>
        <v>492473.652570087</v>
      </c>
      <c r="M46" s="18" t="n">
        <f aca="false">IF(B46="work",E46,IF(B46="retire",J46+K46+L46,0))</f>
        <v>531912.626929062</v>
      </c>
      <c r="N46" s="18" t="n">
        <f aca="false">IF(A46&gt;=Inputs!$B$8,0,G46*(1+Inputs!$B$19)+I46-L46)</f>
        <v>5636685.85957065</v>
      </c>
    </row>
    <row r="47" customFormat="false" ht="15" hidden="false" customHeight="false" outlineLevel="0" collapsed="false">
      <c r="A47" s="23" t="n">
        <f aca="false">A46+1</f>
        <v>74</v>
      </c>
      <c r="B47" s="21" t="str">
        <f aca="false">IF(A47&lt;Inputs!$B$20,"work",IF(A47&lt;Inputs!$B$8,"retire","—"))</f>
        <v>retire</v>
      </c>
      <c r="C47" s="18" t="n">
        <f aca="false">IF(B47&lt;&gt;"work",0,IF(A47-Inputs!$B$5&lt;Inputs!$B$13,Inputs!$B$11+(Inputs!$B$12-Inputs!$B$11)*(A47-Inputs!$B$5)/Inputs!$B$13,IF(A47-Inputs!$B$5&lt;Inputs!$B$13+Inputs!$B$14,Inputs!$B$12,Inputs!$B$15)))</f>
        <v>0</v>
      </c>
      <c r="D47" s="18" t="n">
        <f aca="false">IF(C47&lt;=0,0,VLOOKUP(C47,Inputs!$A$39:$C$48,3,TRUE())+(C47-VLOOKUP(C47,Inputs!$A$39:$C$48,1,TRUE()))*VLOOKUP(C47,Inputs!$A$39:$C$48,2,TRUE()))</f>
        <v>0</v>
      </c>
      <c r="E47" s="18" t="n">
        <f aca="false">C47-D47</f>
        <v>0</v>
      </c>
      <c r="F47" s="18" t="n">
        <f aca="false">IF(B47="work",E47*Inputs!$B$16,0)</f>
        <v>0</v>
      </c>
      <c r="G47" s="18" t="n">
        <f aca="false">N46</f>
        <v>5636685.85957065</v>
      </c>
      <c r="H47" s="18" t="n">
        <f aca="false">IF(A47&gt;Inputs!$B$8,0,G47*Inputs!$B$19)</f>
        <v>394568.010169945</v>
      </c>
      <c r="I47" s="18" t="n">
        <f aca="false">IF(B47="work",F47,0)</f>
        <v>0</v>
      </c>
      <c r="J47" s="18" t="n">
        <f aca="false">IF(AND(A47&gt;=Inputs!$B$23,A47&lt;Inputs!$B$8),Inputs!$B$32,0)</f>
        <v>30438.9743589744</v>
      </c>
      <c r="K47" s="18" t="n">
        <f aca="false">IF(AND(A47&gt;=Inputs!$B$33,A47&lt;Inputs!$B$8),Inputs!$B$35,0)</f>
        <v>9000</v>
      </c>
      <c r="L47" s="18" t="n">
        <f aca="false">IF(B47="retire",Summary!$B$11-J47-K47,0)</f>
        <v>492473.652570087</v>
      </c>
      <c r="M47" s="18" t="n">
        <f aca="false">IF(B47="work",E47,IF(B47="retire",J47+K47+L47,0))</f>
        <v>531912.626929062</v>
      </c>
      <c r="N47" s="18" t="n">
        <f aca="false">IF(A47&gt;=Inputs!$B$8,0,G47*(1+Inputs!$B$19)+I47-L47)</f>
        <v>5538780.21717051</v>
      </c>
    </row>
    <row r="48" customFormat="false" ht="15" hidden="false" customHeight="false" outlineLevel="0" collapsed="false">
      <c r="A48" s="23" t="n">
        <f aca="false">A47+1</f>
        <v>75</v>
      </c>
      <c r="B48" s="21" t="str">
        <f aca="false">IF(A48&lt;Inputs!$B$20,"work",IF(A48&lt;Inputs!$B$8,"retire","—"))</f>
        <v>retire</v>
      </c>
      <c r="C48" s="18" t="n">
        <f aca="false">IF(B48&lt;&gt;"work",0,IF(A48-Inputs!$B$5&lt;Inputs!$B$13,Inputs!$B$11+(Inputs!$B$12-Inputs!$B$11)*(A48-Inputs!$B$5)/Inputs!$B$13,IF(A48-Inputs!$B$5&lt;Inputs!$B$13+Inputs!$B$14,Inputs!$B$12,Inputs!$B$15)))</f>
        <v>0</v>
      </c>
      <c r="D48" s="18" t="n">
        <f aca="false">IF(C48&lt;=0,0,VLOOKUP(C48,Inputs!$A$39:$C$48,3,TRUE())+(C48-VLOOKUP(C48,Inputs!$A$39:$C$48,1,TRUE()))*VLOOKUP(C48,Inputs!$A$39:$C$48,2,TRUE()))</f>
        <v>0</v>
      </c>
      <c r="E48" s="18" t="n">
        <f aca="false">C48-D48</f>
        <v>0</v>
      </c>
      <c r="F48" s="18" t="n">
        <f aca="false">IF(B48="work",E48*Inputs!$B$16,0)</f>
        <v>0</v>
      </c>
      <c r="G48" s="18" t="n">
        <f aca="false">N47</f>
        <v>5538780.21717051</v>
      </c>
      <c r="H48" s="18" t="n">
        <f aca="false">IF(A48&gt;Inputs!$B$8,0,G48*Inputs!$B$19)</f>
        <v>387714.615201936</v>
      </c>
      <c r="I48" s="18" t="n">
        <f aca="false">IF(B48="work",F48,0)</f>
        <v>0</v>
      </c>
      <c r="J48" s="18" t="n">
        <f aca="false">IF(AND(A48&gt;=Inputs!$B$23,A48&lt;Inputs!$B$8),Inputs!$B$32,0)</f>
        <v>30438.9743589744</v>
      </c>
      <c r="K48" s="18" t="n">
        <f aca="false">IF(AND(A48&gt;=Inputs!$B$33,A48&lt;Inputs!$B$8),Inputs!$B$35,0)</f>
        <v>9000</v>
      </c>
      <c r="L48" s="18" t="n">
        <f aca="false">IF(B48="retire",Summary!$B$11-J48-K48,0)</f>
        <v>492473.652570087</v>
      </c>
      <c r="M48" s="18" t="n">
        <f aca="false">IF(B48="work",E48,IF(B48="retire",J48+K48+L48,0))</f>
        <v>531912.626929062</v>
      </c>
      <c r="N48" s="18" t="n">
        <f aca="false">IF(A48&gt;=Inputs!$B$8,0,G48*(1+Inputs!$B$19)+I48-L48)</f>
        <v>5434021.17980236</v>
      </c>
    </row>
    <row r="49" customFormat="false" ht="15" hidden="false" customHeight="false" outlineLevel="0" collapsed="false">
      <c r="A49" s="23" t="n">
        <f aca="false">A48+1</f>
        <v>76</v>
      </c>
      <c r="B49" s="21" t="str">
        <f aca="false">IF(A49&lt;Inputs!$B$20,"work",IF(A49&lt;Inputs!$B$8,"retire","—"))</f>
        <v>retire</v>
      </c>
      <c r="C49" s="18" t="n">
        <f aca="false">IF(B49&lt;&gt;"work",0,IF(A49-Inputs!$B$5&lt;Inputs!$B$13,Inputs!$B$11+(Inputs!$B$12-Inputs!$B$11)*(A49-Inputs!$B$5)/Inputs!$B$13,IF(A49-Inputs!$B$5&lt;Inputs!$B$13+Inputs!$B$14,Inputs!$B$12,Inputs!$B$15)))</f>
        <v>0</v>
      </c>
      <c r="D49" s="18" t="n">
        <f aca="false">IF(C49&lt;=0,0,VLOOKUP(C49,Inputs!$A$39:$C$48,3,TRUE())+(C49-VLOOKUP(C49,Inputs!$A$39:$C$48,1,TRUE()))*VLOOKUP(C49,Inputs!$A$39:$C$48,2,TRUE()))</f>
        <v>0</v>
      </c>
      <c r="E49" s="18" t="n">
        <f aca="false">C49-D49</f>
        <v>0</v>
      </c>
      <c r="F49" s="18" t="n">
        <f aca="false">IF(B49="work",E49*Inputs!$B$16,0)</f>
        <v>0</v>
      </c>
      <c r="G49" s="18" t="n">
        <f aca="false">N48</f>
        <v>5434021.17980236</v>
      </c>
      <c r="H49" s="18" t="n">
        <f aca="false">IF(A49&gt;Inputs!$B$8,0,G49*Inputs!$B$19)</f>
        <v>380381.482586165</v>
      </c>
      <c r="I49" s="18" t="n">
        <f aca="false">IF(B49="work",F49,0)</f>
        <v>0</v>
      </c>
      <c r="J49" s="18" t="n">
        <f aca="false">IF(AND(A49&gt;=Inputs!$B$23,A49&lt;Inputs!$B$8),Inputs!$B$32,0)</f>
        <v>30438.9743589744</v>
      </c>
      <c r="K49" s="18" t="n">
        <f aca="false">IF(AND(A49&gt;=Inputs!$B$33,A49&lt;Inputs!$B$8),Inputs!$B$35,0)</f>
        <v>9000</v>
      </c>
      <c r="L49" s="18" t="n">
        <f aca="false">IF(B49="retire",Summary!$B$11-J49-K49,0)</f>
        <v>492473.652570087</v>
      </c>
      <c r="M49" s="18" t="n">
        <f aca="false">IF(B49="work",E49,IF(B49="retire",J49+K49+L49,0))</f>
        <v>531912.626929062</v>
      </c>
      <c r="N49" s="18" t="n">
        <f aca="false">IF(A49&gt;=Inputs!$B$8,0,G49*(1+Inputs!$B$19)+I49-L49)</f>
        <v>5321929.00981843</v>
      </c>
    </row>
    <row r="50" customFormat="false" ht="15" hidden="false" customHeight="false" outlineLevel="0" collapsed="false">
      <c r="A50" s="23" t="n">
        <f aca="false">A49+1</f>
        <v>77</v>
      </c>
      <c r="B50" s="21" t="str">
        <f aca="false">IF(A50&lt;Inputs!$B$20,"work",IF(A50&lt;Inputs!$B$8,"retire","—"))</f>
        <v>retire</v>
      </c>
      <c r="C50" s="18" t="n">
        <f aca="false">IF(B50&lt;&gt;"work",0,IF(A50-Inputs!$B$5&lt;Inputs!$B$13,Inputs!$B$11+(Inputs!$B$12-Inputs!$B$11)*(A50-Inputs!$B$5)/Inputs!$B$13,IF(A50-Inputs!$B$5&lt;Inputs!$B$13+Inputs!$B$14,Inputs!$B$12,Inputs!$B$15)))</f>
        <v>0</v>
      </c>
      <c r="D50" s="18" t="n">
        <f aca="false">IF(C50&lt;=0,0,VLOOKUP(C50,Inputs!$A$39:$C$48,3,TRUE())+(C50-VLOOKUP(C50,Inputs!$A$39:$C$48,1,TRUE()))*VLOOKUP(C50,Inputs!$A$39:$C$48,2,TRUE()))</f>
        <v>0</v>
      </c>
      <c r="E50" s="18" t="n">
        <f aca="false">C50-D50</f>
        <v>0</v>
      </c>
      <c r="F50" s="18" t="n">
        <f aca="false">IF(B50="work",E50*Inputs!$B$16,0)</f>
        <v>0</v>
      </c>
      <c r="G50" s="18" t="n">
        <f aca="false">N49</f>
        <v>5321929.00981843</v>
      </c>
      <c r="H50" s="18" t="n">
        <f aca="false">IF(A50&gt;Inputs!$B$8,0,G50*Inputs!$B$19)</f>
        <v>372535.03068729</v>
      </c>
      <c r="I50" s="18" t="n">
        <f aca="false">IF(B50="work",F50,0)</f>
        <v>0</v>
      </c>
      <c r="J50" s="18" t="n">
        <f aca="false">IF(AND(A50&gt;=Inputs!$B$23,A50&lt;Inputs!$B$8),Inputs!$B$32,0)</f>
        <v>30438.9743589744</v>
      </c>
      <c r="K50" s="18" t="n">
        <f aca="false">IF(AND(A50&gt;=Inputs!$B$33,A50&lt;Inputs!$B$8),Inputs!$B$35,0)</f>
        <v>9000</v>
      </c>
      <c r="L50" s="18" t="n">
        <f aca="false">IF(B50="retire",Summary!$B$11-J50-K50,0)</f>
        <v>492473.652570087</v>
      </c>
      <c r="M50" s="18" t="n">
        <f aca="false">IF(B50="work",E50,IF(B50="retire",J50+K50+L50,0))</f>
        <v>531912.626929062</v>
      </c>
      <c r="N50" s="18" t="n">
        <f aca="false">IF(A50&gt;=Inputs!$B$8,0,G50*(1+Inputs!$B$19)+I50-L50)</f>
        <v>5201990.38793564</v>
      </c>
    </row>
    <row r="51" customFormat="false" ht="15" hidden="false" customHeight="false" outlineLevel="0" collapsed="false">
      <c r="A51" s="23" t="n">
        <f aca="false">A50+1</f>
        <v>78</v>
      </c>
      <c r="B51" s="21" t="str">
        <f aca="false">IF(A51&lt;Inputs!$B$20,"work",IF(A51&lt;Inputs!$B$8,"retire","—"))</f>
        <v>retire</v>
      </c>
      <c r="C51" s="18" t="n">
        <f aca="false">IF(B51&lt;&gt;"work",0,IF(A51-Inputs!$B$5&lt;Inputs!$B$13,Inputs!$B$11+(Inputs!$B$12-Inputs!$B$11)*(A51-Inputs!$B$5)/Inputs!$B$13,IF(A51-Inputs!$B$5&lt;Inputs!$B$13+Inputs!$B$14,Inputs!$B$12,Inputs!$B$15)))</f>
        <v>0</v>
      </c>
      <c r="D51" s="18" t="n">
        <f aca="false">IF(C51&lt;=0,0,VLOOKUP(C51,Inputs!$A$39:$C$48,3,TRUE())+(C51-VLOOKUP(C51,Inputs!$A$39:$C$48,1,TRUE()))*VLOOKUP(C51,Inputs!$A$39:$C$48,2,TRUE()))</f>
        <v>0</v>
      </c>
      <c r="E51" s="18" t="n">
        <f aca="false">C51-D51</f>
        <v>0</v>
      </c>
      <c r="F51" s="18" t="n">
        <f aca="false">IF(B51="work",E51*Inputs!$B$16,0)</f>
        <v>0</v>
      </c>
      <c r="G51" s="18" t="n">
        <f aca="false">N50</f>
        <v>5201990.38793564</v>
      </c>
      <c r="H51" s="18" t="n">
        <f aca="false">IF(A51&gt;Inputs!$B$8,0,G51*Inputs!$B$19)</f>
        <v>364139.327155495</v>
      </c>
      <c r="I51" s="18" t="n">
        <f aca="false">IF(B51="work",F51,0)</f>
        <v>0</v>
      </c>
      <c r="J51" s="18" t="n">
        <f aca="false">IF(AND(A51&gt;=Inputs!$B$23,A51&lt;Inputs!$B$8),Inputs!$B$32,0)</f>
        <v>30438.9743589744</v>
      </c>
      <c r="K51" s="18" t="n">
        <f aca="false">IF(AND(A51&gt;=Inputs!$B$33,A51&lt;Inputs!$B$8),Inputs!$B$35,0)</f>
        <v>9000</v>
      </c>
      <c r="L51" s="18" t="n">
        <f aca="false">IF(B51="retire",Summary!$B$11-J51-K51,0)</f>
        <v>492473.652570087</v>
      </c>
      <c r="M51" s="18" t="n">
        <f aca="false">IF(B51="work",E51,IF(B51="retire",J51+K51+L51,0))</f>
        <v>531912.626929062</v>
      </c>
      <c r="N51" s="18" t="n">
        <f aca="false">IF(A51&gt;=Inputs!$B$8,0,G51*(1+Inputs!$B$19)+I51-L51)</f>
        <v>5073656.06252104</v>
      </c>
    </row>
    <row r="52" customFormat="false" ht="15" hidden="false" customHeight="false" outlineLevel="0" collapsed="false">
      <c r="A52" s="23" t="n">
        <f aca="false">A51+1</f>
        <v>79</v>
      </c>
      <c r="B52" s="21" t="str">
        <f aca="false">IF(A52&lt;Inputs!$B$20,"work",IF(A52&lt;Inputs!$B$8,"retire","—"))</f>
        <v>retire</v>
      </c>
      <c r="C52" s="18" t="n">
        <f aca="false">IF(B52&lt;&gt;"work",0,IF(A52-Inputs!$B$5&lt;Inputs!$B$13,Inputs!$B$11+(Inputs!$B$12-Inputs!$B$11)*(A52-Inputs!$B$5)/Inputs!$B$13,IF(A52-Inputs!$B$5&lt;Inputs!$B$13+Inputs!$B$14,Inputs!$B$12,Inputs!$B$15)))</f>
        <v>0</v>
      </c>
      <c r="D52" s="18" t="n">
        <f aca="false">IF(C52&lt;=0,0,VLOOKUP(C52,Inputs!$A$39:$C$48,3,TRUE())+(C52-VLOOKUP(C52,Inputs!$A$39:$C$48,1,TRUE()))*VLOOKUP(C52,Inputs!$A$39:$C$48,2,TRUE()))</f>
        <v>0</v>
      </c>
      <c r="E52" s="18" t="n">
        <f aca="false">C52-D52</f>
        <v>0</v>
      </c>
      <c r="F52" s="18" t="n">
        <f aca="false">IF(B52="work",E52*Inputs!$B$16,0)</f>
        <v>0</v>
      </c>
      <c r="G52" s="18" t="n">
        <f aca="false">N51</f>
        <v>5073656.06252104</v>
      </c>
      <c r="H52" s="18" t="n">
        <f aca="false">IF(A52&gt;Inputs!$B$8,0,G52*Inputs!$B$19)</f>
        <v>355155.924376473</v>
      </c>
      <c r="I52" s="18" t="n">
        <f aca="false">IF(B52="work",F52,0)</f>
        <v>0</v>
      </c>
      <c r="J52" s="18" t="n">
        <f aca="false">IF(AND(A52&gt;=Inputs!$B$23,A52&lt;Inputs!$B$8),Inputs!$B$32,0)</f>
        <v>30438.9743589744</v>
      </c>
      <c r="K52" s="18" t="n">
        <f aca="false">IF(AND(A52&gt;=Inputs!$B$33,A52&lt;Inputs!$B$8),Inputs!$B$35,0)</f>
        <v>9000</v>
      </c>
      <c r="L52" s="18" t="n">
        <f aca="false">IF(B52="retire",Summary!$B$11-J52-K52,0)</f>
        <v>492473.652570087</v>
      </c>
      <c r="M52" s="18" t="n">
        <f aca="false">IF(B52="work",E52,IF(B52="retire",J52+K52+L52,0))</f>
        <v>531912.626929062</v>
      </c>
      <c r="N52" s="18" t="n">
        <f aca="false">IF(A52&gt;=Inputs!$B$8,0,G52*(1+Inputs!$B$19)+I52-L52)</f>
        <v>4936338.33432743</v>
      </c>
    </row>
    <row r="53" customFormat="false" ht="15" hidden="false" customHeight="false" outlineLevel="0" collapsed="false">
      <c r="A53" s="23" t="n">
        <f aca="false">A52+1</f>
        <v>80</v>
      </c>
      <c r="B53" s="21" t="str">
        <f aca="false">IF(A53&lt;Inputs!$B$20,"work",IF(A53&lt;Inputs!$B$8,"retire","—"))</f>
        <v>retire</v>
      </c>
      <c r="C53" s="18" t="n">
        <f aca="false">IF(B53&lt;&gt;"work",0,IF(A53-Inputs!$B$5&lt;Inputs!$B$13,Inputs!$B$11+(Inputs!$B$12-Inputs!$B$11)*(A53-Inputs!$B$5)/Inputs!$B$13,IF(A53-Inputs!$B$5&lt;Inputs!$B$13+Inputs!$B$14,Inputs!$B$12,Inputs!$B$15)))</f>
        <v>0</v>
      </c>
      <c r="D53" s="18" t="n">
        <f aca="false">IF(C53&lt;=0,0,VLOOKUP(C53,Inputs!$A$39:$C$48,3,TRUE())+(C53-VLOOKUP(C53,Inputs!$A$39:$C$48,1,TRUE()))*VLOOKUP(C53,Inputs!$A$39:$C$48,2,TRUE()))</f>
        <v>0</v>
      </c>
      <c r="E53" s="18" t="n">
        <f aca="false">C53-D53</f>
        <v>0</v>
      </c>
      <c r="F53" s="18" t="n">
        <f aca="false">IF(B53="work",E53*Inputs!$B$16,0)</f>
        <v>0</v>
      </c>
      <c r="G53" s="18" t="n">
        <f aca="false">N52</f>
        <v>4936338.33432743</v>
      </c>
      <c r="H53" s="18" t="n">
        <f aca="false">IF(A53&gt;Inputs!$B$8,0,G53*Inputs!$B$19)</f>
        <v>345543.68340292</v>
      </c>
      <c r="I53" s="18" t="n">
        <f aca="false">IF(B53="work",F53,0)</f>
        <v>0</v>
      </c>
      <c r="J53" s="18" t="n">
        <f aca="false">IF(AND(A53&gt;=Inputs!$B$23,A53&lt;Inputs!$B$8),Inputs!$B$32,0)</f>
        <v>30438.9743589744</v>
      </c>
      <c r="K53" s="18" t="n">
        <f aca="false">IF(AND(A53&gt;=Inputs!$B$33,A53&lt;Inputs!$B$8),Inputs!$B$35,0)</f>
        <v>9000</v>
      </c>
      <c r="L53" s="18" t="n">
        <f aca="false">IF(B53="retire",Summary!$B$11-J53-K53,0)</f>
        <v>492473.652570087</v>
      </c>
      <c r="M53" s="18" t="n">
        <f aca="false">IF(B53="work",E53,IF(B53="retire",J53+K53+L53,0))</f>
        <v>531912.626929062</v>
      </c>
      <c r="N53" s="18" t="n">
        <f aca="false">IF(A53&gt;=Inputs!$B$8,0,G53*(1+Inputs!$B$19)+I53-L53)</f>
        <v>4789408.36516026</v>
      </c>
    </row>
    <row r="54" customFormat="false" ht="15" hidden="false" customHeight="false" outlineLevel="0" collapsed="false">
      <c r="A54" s="23" t="n">
        <f aca="false">A53+1</f>
        <v>81</v>
      </c>
      <c r="B54" s="21" t="str">
        <f aca="false">IF(A54&lt;Inputs!$B$20,"work",IF(A54&lt;Inputs!$B$8,"retire","—"))</f>
        <v>retire</v>
      </c>
      <c r="C54" s="18" t="n">
        <f aca="false">IF(B54&lt;&gt;"work",0,IF(A54-Inputs!$B$5&lt;Inputs!$B$13,Inputs!$B$11+(Inputs!$B$12-Inputs!$B$11)*(A54-Inputs!$B$5)/Inputs!$B$13,IF(A54-Inputs!$B$5&lt;Inputs!$B$13+Inputs!$B$14,Inputs!$B$12,Inputs!$B$15)))</f>
        <v>0</v>
      </c>
      <c r="D54" s="18" t="n">
        <f aca="false">IF(C54&lt;=0,0,VLOOKUP(C54,Inputs!$A$39:$C$48,3,TRUE())+(C54-VLOOKUP(C54,Inputs!$A$39:$C$48,1,TRUE()))*VLOOKUP(C54,Inputs!$A$39:$C$48,2,TRUE()))</f>
        <v>0</v>
      </c>
      <c r="E54" s="18" t="n">
        <f aca="false">C54-D54</f>
        <v>0</v>
      </c>
      <c r="F54" s="18" t="n">
        <f aca="false">IF(B54="work",E54*Inputs!$B$16,0)</f>
        <v>0</v>
      </c>
      <c r="G54" s="18" t="n">
        <f aca="false">N53</f>
        <v>4789408.36516026</v>
      </c>
      <c r="H54" s="18" t="n">
        <f aca="false">IF(A54&gt;Inputs!$B$8,0,G54*Inputs!$B$19)</f>
        <v>335258.585561218</v>
      </c>
      <c r="I54" s="18" t="n">
        <f aca="false">IF(B54="work",F54,0)</f>
        <v>0</v>
      </c>
      <c r="J54" s="18" t="n">
        <f aca="false">IF(AND(A54&gt;=Inputs!$B$23,A54&lt;Inputs!$B$8),Inputs!$B$32,0)</f>
        <v>30438.9743589744</v>
      </c>
      <c r="K54" s="18" t="n">
        <f aca="false">IF(AND(A54&gt;=Inputs!$B$33,A54&lt;Inputs!$B$8),Inputs!$B$35,0)</f>
        <v>9000</v>
      </c>
      <c r="L54" s="18" t="n">
        <f aca="false">IF(B54="retire",Summary!$B$11-J54-K54,0)</f>
        <v>492473.652570087</v>
      </c>
      <c r="M54" s="18" t="n">
        <f aca="false">IF(B54="work",E54,IF(B54="retire",J54+K54+L54,0))</f>
        <v>531912.626929062</v>
      </c>
      <c r="N54" s="18" t="n">
        <f aca="false">IF(A54&gt;=Inputs!$B$8,0,G54*(1+Inputs!$B$19)+I54-L54)</f>
        <v>4632193.29815139</v>
      </c>
    </row>
    <row r="55" customFormat="false" ht="15" hidden="false" customHeight="false" outlineLevel="0" collapsed="false">
      <c r="A55" s="23" t="n">
        <f aca="false">A54+1</f>
        <v>82</v>
      </c>
      <c r="B55" s="21" t="str">
        <f aca="false">IF(A55&lt;Inputs!$B$20,"work",IF(A55&lt;Inputs!$B$8,"retire","—"))</f>
        <v>retire</v>
      </c>
      <c r="C55" s="18" t="n">
        <f aca="false">IF(B55&lt;&gt;"work",0,IF(A55-Inputs!$B$5&lt;Inputs!$B$13,Inputs!$B$11+(Inputs!$B$12-Inputs!$B$11)*(A55-Inputs!$B$5)/Inputs!$B$13,IF(A55-Inputs!$B$5&lt;Inputs!$B$13+Inputs!$B$14,Inputs!$B$12,Inputs!$B$15)))</f>
        <v>0</v>
      </c>
      <c r="D55" s="18" t="n">
        <f aca="false">IF(C55&lt;=0,0,VLOOKUP(C55,Inputs!$A$39:$C$48,3,TRUE())+(C55-VLOOKUP(C55,Inputs!$A$39:$C$48,1,TRUE()))*VLOOKUP(C55,Inputs!$A$39:$C$48,2,TRUE()))</f>
        <v>0</v>
      </c>
      <c r="E55" s="18" t="n">
        <f aca="false">C55-D55</f>
        <v>0</v>
      </c>
      <c r="F55" s="18" t="n">
        <f aca="false">IF(B55="work",E55*Inputs!$B$16,0)</f>
        <v>0</v>
      </c>
      <c r="G55" s="18" t="n">
        <f aca="false">N54</f>
        <v>4632193.29815139</v>
      </c>
      <c r="H55" s="18" t="n">
        <f aca="false">IF(A55&gt;Inputs!$B$8,0,G55*Inputs!$B$19)</f>
        <v>324253.530870598</v>
      </c>
      <c r="I55" s="18" t="n">
        <f aca="false">IF(B55="work",F55,0)</f>
        <v>0</v>
      </c>
      <c r="J55" s="18" t="n">
        <f aca="false">IF(AND(A55&gt;=Inputs!$B$23,A55&lt;Inputs!$B$8),Inputs!$B$32,0)</f>
        <v>30438.9743589744</v>
      </c>
      <c r="K55" s="18" t="n">
        <f aca="false">IF(AND(A55&gt;=Inputs!$B$33,A55&lt;Inputs!$B$8),Inputs!$B$35,0)</f>
        <v>9000</v>
      </c>
      <c r="L55" s="18" t="n">
        <f aca="false">IF(B55="retire",Summary!$B$11-J55-K55,0)</f>
        <v>492473.652570087</v>
      </c>
      <c r="M55" s="18" t="n">
        <f aca="false">IF(B55="work",E55,IF(B55="retire",J55+K55+L55,0))</f>
        <v>531912.626929062</v>
      </c>
      <c r="N55" s="18" t="n">
        <f aca="false">IF(A55&gt;=Inputs!$B$8,0,G55*(1+Inputs!$B$19)+I55-L55)</f>
        <v>4463973.1764519</v>
      </c>
    </row>
    <row r="56" customFormat="false" ht="15" hidden="false" customHeight="false" outlineLevel="0" collapsed="false">
      <c r="A56" s="23" t="n">
        <f aca="false">A55+1</f>
        <v>83</v>
      </c>
      <c r="B56" s="21" t="str">
        <f aca="false">IF(A56&lt;Inputs!$B$20,"work",IF(A56&lt;Inputs!$B$8,"retire","—"))</f>
        <v>retire</v>
      </c>
      <c r="C56" s="18" t="n">
        <f aca="false">IF(B56&lt;&gt;"work",0,IF(A56-Inputs!$B$5&lt;Inputs!$B$13,Inputs!$B$11+(Inputs!$B$12-Inputs!$B$11)*(A56-Inputs!$B$5)/Inputs!$B$13,IF(A56-Inputs!$B$5&lt;Inputs!$B$13+Inputs!$B$14,Inputs!$B$12,Inputs!$B$15)))</f>
        <v>0</v>
      </c>
      <c r="D56" s="18" t="n">
        <f aca="false">IF(C56&lt;=0,0,VLOOKUP(C56,Inputs!$A$39:$C$48,3,TRUE())+(C56-VLOOKUP(C56,Inputs!$A$39:$C$48,1,TRUE()))*VLOOKUP(C56,Inputs!$A$39:$C$48,2,TRUE()))</f>
        <v>0</v>
      </c>
      <c r="E56" s="18" t="n">
        <f aca="false">C56-D56</f>
        <v>0</v>
      </c>
      <c r="F56" s="18" t="n">
        <f aca="false">IF(B56="work",E56*Inputs!$B$16,0)</f>
        <v>0</v>
      </c>
      <c r="G56" s="18" t="n">
        <f aca="false">N55</f>
        <v>4463973.1764519</v>
      </c>
      <c r="H56" s="18" t="n">
        <f aca="false">IF(A56&gt;Inputs!$B$8,0,G56*Inputs!$B$19)</f>
        <v>312478.122351633</v>
      </c>
      <c r="I56" s="18" t="n">
        <f aca="false">IF(B56="work",F56,0)</f>
        <v>0</v>
      </c>
      <c r="J56" s="18" t="n">
        <f aca="false">IF(AND(A56&gt;=Inputs!$B$23,A56&lt;Inputs!$B$8),Inputs!$B$32,0)</f>
        <v>30438.9743589744</v>
      </c>
      <c r="K56" s="18" t="n">
        <f aca="false">IF(AND(A56&gt;=Inputs!$B$33,A56&lt;Inputs!$B$8),Inputs!$B$35,0)</f>
        <v>9000</v>
      </c>
      <c r="L56" s="18" t="n">
        <f aca="false">IF(B56="retire",Summary!$B$11-J56-K56,0)</f>
        <v>492473.652570087</v>
      </c>
      <c r="M56" s="18" t="n">
        <f aca="false">IF(B56="work",E56,IF(B56="retire",J56+K56+L56,0))</f>
        <v>531912.626929062</v>
      </c>
      <c r="N56" s="18" t="n">
        <f aca="false">IF(A56&gt;=Inputs!$B$8,0,G56*(1+Inputs!$B$19)+I56-L56)</f>
        <v>4283977.64623345</v>
      </c>
    </row>
    <row r="57" customFormat="false" ht="15" hidden="false" customHeight="false" outlineLevel="0" collapsed="false">
      <c r="A57" s="23" t="n">
        <f aca="false">A56+1</f>
        <v>84</v>
      </c>
      <c r="B57" s="21" t="str">
        <f aca="false">IF(A57&lt;Inputs!$B$20,"work",IF(A57&lt;Inputs!$B$8,"retire","—"))</f>
        <v>retire</v>
      </c>
      <c r="C57" s="18" t="n">
        <f aca="false">IF(B57&lt;&gt;"work",0,IF(A57-Inputs!$B$5&lt;Inputs!$B$13,Inputs!$B$11+(Inputs!$B$12-Inputs!$B$11)*(A57-Inputs!$B$5)/Inputs!$B$13,IF(A57-Inputs!$B$5&lt;Inputs!$B$13+Inputs!$B$14,Inputs!$B$12,Inputs!$B$15)))</f>
        <v>0</v>
      </c>
      <c r="D57" s="18" t="n">
        <f aca="false">IF(C57&lt;=0,0,VLOOKUP(C57,Inputs!$A$39:$C$48,3,TRUE())+(C57-VLOOKUP(C57,Inputs!$A$39:$C$48,1,TRUE()))*VLOOKUP(C57,Inputs!$A$39:$C$48,2,TRUE()))</f>
        <v>0</v>
      </c>
      <c r="E57" s="18" t="n">
        <f aca="false">C57-D57</f>
        <v>0</v>
      </c>
      <c r="F57" s="18" t="n">
        <f aca="false">IF(B57="work",E57*Inputs!$B$16,0)</f>
        <v>0</v>
      </c>
      <c r="G57" s="18" t="n">
        <f aca="false">N56</f>
        <v>4283977.64623345</v>
      </c>
      <c r="H57" s="18" t="n">
        <f aca="false">IF(A57&gt;Inputs!$B$8,0,G57*Inputs!$B$19)</f>
        <v>299878.435236342</v>
      </c>
      <c r="I57" s="18" t="n">
        <f aca="false">IF(B57="work",F57,0)</f>
        <v>0</v>
      </c>
      <c r="J57" s="18" t="n">
        <f aca="false">IF(AND(A57&gt;=Inputs!$B$23,A57&lt;Inputs!$B$8),Inputs!$B$32,0)</f>
        <v>30438.9743589744</v>
      </c>
      <c r="K57" s="18" t="n">
        <f aca="false">IF(AND(A57&gt;=Inputs!$B$33,A57&lt;Inputs!$B$8),Inputs!$B$35,0)</f>
        <v>9000</v>
      </c>
      <c r="L57" s="18" t="n">
        <f aca="false">IF(B57="retire",Summary!$B$11-J57-K57,0)</f>
        <v>492473.652570087</v>
      </c>
      <c r="M57" s="18" t="n">
        <f aca="false">IF(B57="work",E57,IF(B57="retire",J57+K57+L57,0))</f>
        <v>531912.626929062</v>
      </c>
      <c r="N57" s="18" t="n">
        <f aca="false">IF(A57&gt;=Inputs!$B$8,0,G57*(1+Inputs!$B$19)+I57-L57)</f>
        <v>4091382.4288997</v>
      </c>
    </row>
    <row r="58" customFormat="false" ht="15" hidden="false" customHeight="false" outlineLevel="0" collapsed="false">
      <c r="A58" s="23" t="n">
        <f aca="false">A57+1</f>
        <v>85</v>
      </c>
      <c r="B58" s="21" t="str">
        <f aca="false">IF(A58&lt;Inputs!$B$20,"work",IF(A58&lt;Inputs!$B$8,"retire","—"))</f>
        <v>retire</v>
      </c>
      <c r="C58" s="18" t="n">
        <f aca="false">IF(B58&lt;&gt;"work",0,IF(A58-Inputs!$B$5&lt;Inputs!$B$13,Inputs!$B$11+(Inputs!$B$12-Inputs!$B$11)*(A58-Inputs!$B$5)/Inputs!$B$13,IF(A58-Inputs!$B$5&lt;Inputs!$B$13+Inputs!$B$14,Inputs!$B$12,Inputs!$B$15)))</f>
        <v>0</v>
      </c>
      <c r="D58" s="18" t="n">
        <f aca="false">IF(C58&lt;=0,0,VLOOKUP(C58,Inputs!$A$39:$C$48,3,TRUE())+(C58-VLOOKUP(C58,Inputs!$A$39:$C$48,1,TRUE()))*VLOOKUP(C58,Inputs!$A$39:$C$48,2,TRUE()))</f>
        <v>0</v>
      </c>
      <c r="E58" s="18" t="n">
        <f aca="false">C58-D58</f>
        <v>0</v>
      </c>
      <c r="F58" s="18" t="n">
        <f aca="false">IF(B58="work",E58*Inputs!$B$16,0)</f>
        <v>0</v>
      </c>
      <c r="G58" s="18" t="n">
        <f aca="false">N57</f>
        <v>4091382.4288997</v>
      </c>
      <c r="H58" s="18" t="n">
        <f aca="false">IF(A58&gt;Inputs!$B$8,0,G58*Inputs!$B$19)</f>
        <v>286396.770022979</v>
      </c>
      <c r="I58" s="18" t="n">
        <f aca="false">IF(B58="work",F58,0)</f>
        <v>0</v>
      </c>
      <c r="J58" s="18" t="n">
        <f aca="false">IF(AND(A58&gt;=Inputs!$B$23,A58&lt;Inputs!$B$8),Inputs!$B$32,0)</f>
        <v>30438.9743589744</v>
      </c>
      <c r="K58" s="18" t="n">
        <f aca="false">IF(AND(A58&gt;=Inputs!$B$33,A58&lt;Inputs!$B$8),Inputs!$B$35,0)</f>
        <v>9000</v>
      </c>
      <c r="L58" s="18" t="n">
        <f aca="false">IF(B58="retire",Summary!$B$11-J58-K58,0)</f>
        <v>492473.652570087</v>
      </c>
      <c r="M58" s="18" t="n">
        <f aca="false">IF(B58="work",E58,IF(B58="retire",J58+K58+L58,0))</f>
        <v>531912.626929062</v>
      </c>
      <c r="N58" s="18" t="n">
        <f aca="false">IF(A58&gt;=Inputs!$B$8,0,G58*(1+Inputs!$B$19)+I58-L58)</f>
        <v>3885305.5463526</v>
      </c>
    </row>
    <row r="59" customFormat="false" ht="15" hidden="false" customHeight="false" outlineLevel="0" collapsed="false">
      <c r="A59" s="23" t="n">
        <f aca="false">A58+1</f>
        <v>86</v>
      </c>
      <c r="B59" s="21" t="str">
        <f aca="false">IF(A59&lt;Inputs!$B$20,"work",IF(A59&lt;Inputs!$B$8,"retire","—"))</f>
        <v>retire</v>
      </c>
      <c r="C59" s="18" t="n">
        <f aca="false">IF(B59&lt;&gt;"work",0,IF(A59-Inputs!$B$5&lt;Inputs!$B$13,Inputs!$B$11+(Inputs!$B$12-Inputs!$B$11)*(A59-Inputs!$B$5)/Inputs!$B$13,IF(A59-Inputs!$B$5&lt;Inputs!$B$13+Inputs!$B$14,Inputs!$B$12,Inputs!$B$15)))</f>
        <v>0</v>
      </c>
      <c r="D59" s="18" t="n">
        <f aca="false">IF(C59&lt;=0,0,VLOOKUP(C59,Inputs!$A$39:$C$48,3,TRUE())+(C59-VLOOKUP(C59,Inputs!$A$39:$C$48,1,TRUE()))*VLOOKUP(C59,Inputs!$A$39:$C$48,2,TRUE()))</f>
        <v>0</v>
      </c>
      <c r="E59" s="18" t="n">
        <f aca="false">C59-D59</f>
        <v>0</v>
      </c>
      <c r="F59" s="18" t="n">
        <f aca="false">IF(B59="work",E59*Inputs!$B$16,0)</f>
        <v>0</v>
      </c>
      <c r="G59" s="18" t="n">
        <f aca="false">N58</f>
        <v>3885305.5463526</v>
      </c>
      <c r="H59" s="18" t="n">
        <f aca="false">IF(A59&gt;Inputs!$B$8,0,G59*Inputs!$B$19)</f>
        <v>271971.388244682</v>
      </c>
      <c r="I59" s="18" t="n">
        <f aca="false">IF(B59="work",F59,0)</f>
        <v>0</v>
      </c>
      <c r="J59" s="18" t="n">
        <f aca="false">IF(AND(A59&gt;=Inputs!$B$23,A59&lt;Inputs!$B$8),Inputs!$B$32,0)</f>
        <v>30438.9743589744</v>
      </c>
      <c r="K59" s="18" t="n">
        <f aca="false">IF(AND(A59&gt;=Inputs!$B$33,A59&lt;Inputs!$B$8),Inputs!$B$35,0)</f>
        <v>9000</v>
      </c>
      <c r="L59" s="18" t="n">
        <f aca="false">IF(B59="retire",Summary!$B$11-J59-K59,0)</f>
        <v>492473.652570087</v>
      </c>
      <c r="M59" s="18" t="n">
        <f aca="false">IF(B59="work",E59,IF(B59="retire",J59+K59+L59,0))</f>
        <v>531912.626929062</v>
      </c>
      <c r="N59" s="18" t="n">
        <f aca="false">IF(A59&gt;=Inputs!$B$8,0,G59*(1+Inputs!$B$19)+I59-L59)</f>
        <v>3664803.28202719</v>
      </c>
    </row>
    <row r="60" customFormat="false" ht="15" hidden="false" customHeight="false" outlineLevel="0" collapsed="false">
      <c r="A60" s="23" t="n">
        <f aca="false">A59+1</f>
        <v>87</v>
      </c>
      <c r="B60" s="21" t="str">
        <f aca="false">IF(A60&lt;Inputs!$B$20,"work",IF(A60&lt;Inputs!$B$8,"retire","—"))</f>
        <v>retire</v>
      </c>
      <c r="C60" s="18" t="n">
        <f aca="false">IF(B60&lt;&gt;"work",0,IF(A60-Inputs!$B$5&lt;Inputs!$B$13,Inputs!$B$11+(Inputs!$B$12-Inputs!$B$11)*(A60-Inputs!$B$5)/Inputs!$B$13,IF(A60-Inputs!$B$5&lt;Inputs!$B$13+Inputs!$B$14,Inputs!$B$12,Inputs!$B$15)))</f>
        <v>0</v>
      </c>
      <c r="D60" s="18" t="n">
        <f aca="false">IF(C60&lt;=0,0,VLOOKUP(C60,Inputs!$A$39:$C$48,3,TRUE())+(C60-VLOOKUP(C60,Inputs!$A$39:$C$48,1,TRUE()))*VLOOKUP(C60,Inputs!$A$39:$C$48,2,TRUE()))</f>
        <v>0</v>
      </c>
      <c r="E60" s="18" t="n">
        <f aca="false">C60-D60</f>
        <v>0</v>
      </c>
      <c r="F60" s="18" t="n">
        <f aca="false">IF(B60="work",E60*Inputs!$B$16,0)</f>
        <v>0</v>
      </c>
      <c r="G60" s="18" t="n">
        <f aca="false">N59</f>
        <v>3664803.28202719</v>
      </c>
      <c r="H60" s="18" t="n">
        <f aca="false">IF(A60&gt;Inputs!$B$8,0,G60*Inputs!$B$19)</f>
        <v>256536.229741903</v>
      </c>
      <c r="I60" s="18" t="n">
        <f aca="false">IF(B60="work",F60,0)</f>
        <v>0</v>
      </c>
      <c r="J60" s="18" t="n">
        <f aca="false">IF(AND(A60&gt;=Inputs!$B$23,A60&lt;Inputs!$B$8),Inputs!$B$32,0)</f>
        <v>30438.9743589744</v>
      </c>
      <c r="K60" s="18" t="n">
        <f aca="false">IF(AND(A60&gt;=Inputs!$B$33,A60&lt;Inputs!$B$8),Inputs!$B$35,0)</f>
        <v>9000</v>
      </c>
      <c r="L60" s="18" t="n">
        <f aca="false">IF(B60="retire",Summary!$B$11-J60-K60,0)</f>
        <v>492473.652570087</v>
      </c>
      <c r="M60" s="18" t="n">
        <f aca="false">IF(B60="work",E60,IF(B60="retire",J60+K60+L60,0))</f>
        <v>531912.626929062</v>
      </c>
      <c r="N60" s="18" t="n">
        <f aca="false">IF(A60&gt;=Inputs!$B$8,0,G60*(1+Inputs!$B$19)+I60-L60)</f>
        <v>3428865.85919901</v>
      </c>
    </row>
    <row r="61" customFormat="false" ht="15" hidden="false" customHeight="false" outlineLevel="0" collapsed="false">
      <c r="A61" s="23" t="n">
        <f aca="false">A60+1</f>
        <v>88</v>
      </c>
      <c r="B61" s="21" t="str">
        <f aca="false">IF(A61&lt;Inputs!$B$20,"work",IF(A61&lt;Inputs!$B$8,"retire","—"))</f>
        <v>retire</v>
      </c>
      <c r="C61" s="18" t="n">
        <f aca="false">IF(B61&lt;&gt;"work",0,IF(A61-Inputs!$B$5&lt;Inputs!$B$13,Inputs!$B$11+(Inputs!$B$12-Inputs!$B$11)*(A61-Inputs!$B$5)/Inputs!$B$13,IF(A61-Inputs!$B$5&lt;Inputs!$B$13+Inputs!$B$14,Inputs!$B$12,Inputs!$B$15)))</f>
        <v>0</v>
      </c>
      <c r="D61" s="18" t="n">
        <f aca="false">IF(C61&lt;=0,0,VLOOKUP(C61,Inputs!$A$39:$C$48,3,TRUE())+(C61-VLOOKUP(C61,Inputs!$A$39:$C$48,1,TRUE()))*VLOOKUP(C61,Inputs!$A$39:$C$48,2,TRUE()))</f>
        <v>0</v>
      </c>
      <c r="E61" s="18" t="n">
        <f aca="false">C61-D61</f>
        <v>0</v>
      </c>
      <c r="F61" s="18" t="n">
        <f aca="false">IF(B61="work",E61*Inputs!$B$16,0)</f>
        <v>0</v>
      </c>
      <c r="G61" s="18" t="n">
        <f aca="false">N60</f>
        <v>3428865.85919901</v>
      </c>
      <c r="H61" s="18" t="n">
        <f aca="false">IF(A61&gt;Inputs!$B$8,0,G61*Inputs!$B$19)</f>
        <v>240020.610143931</v>
      </c>
      <c r="I61" s="18" t="n">
        <f aca="false">IF(B61="work",F61,0)</f>
        <v>0</v>
      </c>
      <c r="J61" s="18" t="n">
        <f aca="false">IF(AND(A61&gt;=Inputs!$B$23,A61&lt;Inputs!$B$8),Inputs!$B$32,0)</f>
        <v>30438.9743589744</v>
      </c>
      <c r="K61" s="18" t="n">
        <f aca="false">IF(AND(A61&gt;=Inputs!$B$33,A61&lt;Inputs!$B$8),Inputs!$B$35,0)</f>
        <v>9000</v>
      </c>
      <c r="L61" s="18" t="n">
        <f aca="false">IF(B61="retire",Summary!$B$11-J61-K61,0)</f>
        <v>492473.652570087</v>
      </c>
      <c r="M61" s="18" t="n">
        <f aca="false">IF(B61="work",E61,IF(B61="retire",J61+K61+L61,0))</f>
        <v>531912.626929062</v>
      </c>
      <c r="N61" s="18" t="n">
        <f aca="false">IF(A61&gt;=Inputs!$B$8,0,G61*(1+Inputs!$B$19)+I61-L61)</f>
        <v>3176412.81677285</v>
      </c>
    </row>
    <row r="62" customFormat="false" ht="15" hidden="false" customHeight="false" outlineLevel="0" collapsed="false">
      <c r="A62" s="23" t="n">
        <f aca="false">A61+1</f>
        <v>89</v>
      </c>
      <c r="B62" s="21" t="str">
        <f aca="false">IF(A62&lt;Inputs!$B$20,"work",IF(A62&lt;Inputs!$B$8,"retire","—"))</f>
        <v>retire</v>
      </c>
      <c r="C62" s="18" t="n">
        <f aca="false">IF(B62&lt;&gt;"work",0,IF(A62-Inputs!$B$5&lt;Inputs!$B$13,Inputs!$B$11+(Inputs!$B$12-Inputs!$B$11)*(A62-Inputs!$B$5)/Inputs!$B$13,IF(A62-Inputs!$B$5&lt;Inputs!$B$13+Inputs!$B$14,Inputs!$B$12,Inputs!$B$15)))</f>
        <v>0</v>
      </c>
      <c r="D62" s="18" t="n">
        <f aca="false">IF(C62&lt;=0,0,VLOOKUP(C62,Inputs!$A$39:$C$48,3,TRUE())+(C62-VLOOKUP(C62,Inputs!$A$39:$C$48,1,TRUE()))*VLOOKUP(C62,Inputs!$A$39:$C$48,2,TRUE()))</f>
        <v>0</v>
      </c>
      <c r="E62" s="18" t="n">
        <f aca="false">C62-D62</f>
        <v>0</v>
      </c>
      <c r="F62" s="18" t="n">
        <f aca="false">IF(B62="work",E62*Inputs!$B$16,0)</f>
        <v>0</v>
      </c>
      <c r="G62" s="18" t="n">
        <f aca="false">N61</f>
        <v>3176412.81677285</v>
      </c>
      <c r="H62" s="18" t="n">
        <f aca="false">IF(A62&gt;Inputs!$B$8,0,G62*Inputs!$B$19)</f>
        <v>222348.8971741</v>
      </c>
      <c r="I62" s="18" t="n">
        <f aca="false">IF(B62="work",F62,0)</f>
        <v>0</v>
      </c>
      <c r="J62" s="18" t="n">
        <f aca="false">IF(AND(A62&gt;=Inputs!$B$23,A62&lt;Inputs!$B$8),Inputs!$B$32,0)</f>
        <v>30438.9743589744</v>
      </c>
      <c r="K62" s="18" t="n">
        <f aca="false">IF(AND(A62&gt;=Inputs!$B$33,A62&lt;Inputs!$B$8),Inputs!$B$35,0)</f>
        <v>9000</v>
      </c>
      <c r="L62" s="18" t="n">
        <f aca="false">IF(B62="retire",Summary!$B$11-J62-K62,0)</f>
        <v>492473.652570087</v>
      </c>
      <c r="M62" s="18" t="n">
        <f aca="false">IF(B62="work",E62,IF(B62="retire",J62+K62+L62,0))</f>
        <v>531912.626929062</v>
      </c>
      <c r="N62" s="18" t="n">
        <f aca="false">IF(A62&gt;=Inputs!$B$8,0,G62*(1+Inputs!$B$19)+I62-L62)</f>
        <v>2906288.06137686</v>
      </c>
    </row>
    <row r="63" customFormat="false" ht="15" hidden="false" customHeight="false" outlineLevel="0" collapsed="false">
      <c r="A63" s="23" t="n">
        <f aca="false">A62+1</f>
        <v>90</v>
      </c>
      <c r="B63" s="21" t="str">
        <f aca="false">IF(A63&lt;Inputs!$B$20,"work",IF(A63&lt;Inputs!$B$8,"retire","—"))</f>
        <v>retire</v>
      </c>
      <c r="C63" s="18" t="n">
        <f aca="false">IF(B63&lt;&gt;"work",0,IF(A63-Inputs!$B$5&lt;Inputs!$B$13,Inputs!$B$11+(Inputs!$B$12-Inputs!$B$11)*(A63-Inputs!$B$5)/Inputs!$B$13,IF(A63-Inputs!$B$5&lt;Inputs!$B$13+Inputs!$B$14,Inputs!$B$12,Inputs!$B$15)))</f>
        <v>0</v>
      </c>
      <c r="D63" s="18" t="n">
        <f aca="false">IF(C63&lt;=0,0,VLOOKUP(C63,Inputs!$A$39:$C$48,3,TRUE())+(C63-VLOOKUP(C63,Inputs!$A$39:$C$48,1,TRUE()))*VLOOKUP(C63,Inputs!$A$39:$C$48,2,TRUE()))</f>
        <v>0</v>
      </c>
      <c r="E63" s="18" t="n">
        <f aca="false">C63-D63</f>
        <v>0</v>
      </c>
      <c r="F63" s="18" t="n">
        <f aca="false">IF(B63="work",E63*Inputs!$B$16,0)</f>
        <v>0</v>
      </c>
      <c r="G63" s="18" t="n">
        <f aca="false">N62</f>
        <v>2906288.06137686</v>
      </c>
      <c r="H63" s="18" t="n">
        <f aca="false">IF(A63&gt;Inputs!$B$8,0,G63*Inputs!$B$19)</f>
        <v>203440.164296381</v>
      </c>
      <c r="I63" s="18" t="n">
        <f aca="false">IF(B63="work",F63,0)</f>
        <v>0</v>
      </c>
      <c r="J63" s="18" t="n">
        <f aca="false">IF(AND(A63&gt;=Inputs!$B$23,A63&lt;Inputs!$B$8),Inputs!$B$32,0)</f>
        <v>30438.9743589744</v>
      </c>
      <c r="K63" s="18" t="n">
        <f aca="false">IF(AND(A63&gt;=Inputs!$B$33,A63&lt;Inputs!$B$8),Inputs!$B$35,0)</f>
        <v>9000</v>
      </c>
      <c r="L63" s="18" t="n">
        <f aca="false">IF(B63="retire",Summary!$B$11-J63-K63,0)</f>
        <v>492473.652570087</v>
      </c>
      <c r="M63" s="18" t="n">
        <f aca="false">IF(B63="work",E63,IF(B63="retire",J63+K63+L63,0))</f>
        <v>531912.626929062</v>
      </c>
      <c r="N63" s="18" t="n">
        <f aca="false">IF(A63&gt;=Inputs!$B$8,0,G63*(1+Inputs!$B$19)+I63-L63)</f>
        <v>2617254.57310316</v>
      </c>
    </row>
    <row r="64" customFormat="false" ht="15" hidden="false" customHeight="false" outlineLevel="0" collapsed="false">
      <c r="A64" s="23" t="n">
        <f aca="false">A63+1</f>
        <v>91</v>
      </c>
      <c r="B64" s="21" t="str">
        <f aca="false">IF(A64&lt;Inputs!$B$20,"work",IF(A64&lt;Inputs!$B$8,"retire","—"))</f>
        <v>retire</v>
      </c>
      <c r="C64" s="18" t="n">
        <f aca="false">IF(B64&lt;&gt;"work",0,IF(A64-Inputs!$B$5&lt;Inputs!$B$13,Inputs!$B$11+(Inputs!$B$12-Inputs!$B$11)*(A64-Inputs!$B$5)/Inputs!$B$13,IF(A64-Inputs!$B$5&lt;Inputs!$B$13+Inputs!$B$14,Inputs!$B$12,Inputs!$B$15)))</f>
        <v>0</v>
      </c>
      <c r="D64" s="18" t="n">
        <f aca="false">IF(C64&lt;=0,0,VLOOKUP(C64,Inputs!$A$39:$C$48,3,TRUE())+(C64-VLOOKUP(C64,Inputs!$A$39:$C$48,1,TRUE()))*VLOOKUP(C64,Inputs!$A$39:$C$48,2,TRUE()))</f>
        <v>0</v>
      </c>
      <c r="E64" s="18" t="n">
        <f aca="false">C64-D64</f>
        <v>0</v>
      </c>
      <c r="F64" s="18" t="n">
        <f aca="false">IF(B64="work",E64*Inputs!$B$16,0)</f>
        <v>0</v>
      </c>
      <c r="G64" s="18" t="n">
        <f aca="false">N63</f>
        <v>2617254.57310316</v>
      </c>
      <c r="H64" s="18" t="n">
        <f aca="false">IF(A64&gt;Inputs!$B$8,0,G64*Inputs!$B$19)</f>
        <v>183207.820117221</v>
      </c>
      <c r="I64" s="18" t="n">
        <f aca="false">IF(B64="work",F64,0)</f>
        <v>0</v>
      </c>
      <c r="J64" s="18" t="n">
        <f aca="false">IF(AND(A64&gt;=Inputs!$B$23,A64&lt;Inputs!$B$8),Inputs!$B$32,0)</f>
        <v>30438.9743589744</v>
      </c>
      <c r="K64" s="18" t="n">
        <f aca="false">IF(AND(A64&gt;=Inputs!$B$33,A64&lt;Inputs!$B$8),Inputs!$B$35,0)</f>
        <v>9000</v>
      </c>
      <c r="L64" s="18" t="n">
        <f aca="false">IF(B64="retire",Summary!$B$11-J64-K64,0)</f>
        <v>492473.652570087</v>
      </c>
      <c r="M64" s="18" t="n">
        <f aca="false">IF(B64="work",E64,IF(B64="retire",J64+K64+L64,0))</f>
        <v>531912.626929062</v>
      </c>
      <c r="N64" s="18" t="n">
        <f aca="false">IF(A64&gt;=Inputs!$B$8,0,G64*(1+Inputs!$B$19)+I64-L64)</f>
        <v>2307988.74065029</v>
      </c>
    </row>
    <row r="65" customFormat="false" ht="15" hidden="false" customHeight="false" outlineLevel="0" collapsed="false">
      <c r="A65" s="23" t="n">
        <f aca="false">A64+1</f>
        <v>92</v>
      </c>
      <c r="B65" s="21" t="str">
        <f aca="false">IF(A65&lt;Inputs!$B$20,"work",IF(A65&lt;Inputs!$B$8,"retire","—"))</f>
        <v>retire</v>
      </c>
      <c r="C65" s="18" t="n">
        <f aca="false">IF(B65&lt;&gt;"work",0,IF(A65-Inputs!$B$5&lt;Inputs!$B$13,Inputs!$B$11+(Inputs!$B$12-Inputs!$B$11)*(A65-Inputs!$B$5)/Inputs!$B$13,IF(A65-Inputs!$B$5&lt;Inputs!$B$13+Inputs!$B$14,Inputs!$B$12,Inputs!$B$15)))</f>
        <v>0</v>
      </c>
      <c r="D65" s="18" t="n">
        <f aca="false">IF(C65&lt;=0,0,VLOOKUP(C65,Inputs!$A$39:$C$48,3,TRUE())+(C65-VLOOKUP(C65,Inputs!$A$39:$C$48,1,TRUE()))*VLOOKUP(C65,Inputs!$A$39:$C$48,2,TRUE()))</f>
        <v>0</v>
      </c>
      <c r="E65" s="18" t="n">
        <f aca="false">C65-D65</f>
        <v>0</v>
      </c>
      <c r="F65" s="18" t="n">
        <f aca="false">IF(B65="work",E65*Inputs!$B$16,0)</f>
        <v>0</v>
      </c>
      <c r="G65" s="18" t="n">
        <f aca="false">N64</f>
        <v>2307988.74065029</v>
      </c>
      <c r="H65" s="18" t="n">
        <f aca="false">IF(A65&gt;Inputs!$B$8,0,G65*Inputs!$B$19)</f>
        <v>161559.21184552</v>
      </c>
      <c r="I65" s="18" t="n">
        <f aca="false">IF(B65="work",F65,0)</f>
        <v>0</v>
      </c>
      <c r="J65" s="18" t="n">
        <f aca="false">IF(AND(A65&gt;=Inputs!$B$23,A65&lt;Inputs!$B$8),Inputs!$B$32,0)</f>
        <v>30438.9743589744</v>
      </c>
      <c r="K65" s="18" t="n">
        <f aca="false">IF(AND(A65&gt;=Inputs!$B$33,A65&lt;Inputs!$B$8),Inputs!$B$35,0)</f>
        <v>9000</v>
      </c>
      <c r="L65" s="18" t="n">
        <f aca="false">IF(B65="retire",Summary!$B$11-J65-K65,0)</f>
        <v>492473.652570087</v>
      </c>
      <c r="M65" s="18" t="n">
        <f aca="false">IF(B65="work",E65,IF(B65="retire",J65+K65+L65,0))</f>
        <v>531912.626929062</v>
      </c>
      <c r="N65" s="18" t="n">
        <f aca="false">IF(A65&gt;=Inputs!$B$8,0,G65*(1+Inputs!$B$19)+I65-L65)</f>
        <v>1977074.29992573</v>
      </c>
    </row>
    <row r="66" customFormat="false" ht="15" hidden="false" customHeight="false" outlineLevel="0" collapsed="false">
      <c r="A66" s="23" t="n">
        <f aca="false">A65+1</f>
        <v>93</v>
      </c>
      <c r="B66" s="21" t="str">
        <f aca="false">IF(A66&lt;Inputs!$B$20,"work",IF(A66&lt;Inputs!$B$8,"retire","—"))</f>
        <v>retire</v>
      </c>
      <c r="C66" s="18" t="n">
        <f aca="false">IF(B66&lt;&gt;"work",0,IF(A66-Inputs!$B$5&lt;Inputs!$B$13,Inputs!$B$11+(Inputs!$B$12-Inputs!$B$11)*(A66-Inputs!$B$5)/Inputs!$B$13,IF(A66-Inputs!$B$5&lt;Inputs!$B$13+Inputs!$B$14,Inputs!$B$12,Inputs!$B$15)))</f>
        <v>0</v>
      </c>
      <c r="D66" s="18" t="n">
        <f aca="false">IF(C66&lt;=0,0,VLOOKUP(C66,Inputs!$A$39:$C$48,3,TRUE())+(C66-VLOOKUP(C66,Inputs!$A$39:$C$48,1,TRUE()))*VLOOKUP(C66,Inputs!$A$39:$C$48,2,TRUE()))</f>
        <v>0</v>
      </c>
      <c r="E66" s="18" t="n">
        <f aca="false">C66-D66</f>
        <v>0</v>
      </c>
      <c r="F66" s="18" t="n">
        <f aca="false">IF(B66="work",E66*Inputs!$B$16,0)</f>
        <v>0</v>
      </c>
      <c r="G66" s="18" t="n">
        <f aca="false">N65</f>
        <v>1977074.29992573</v>
      </c>
      <c r="H66" s="18" t="n">
        <f aca="false">IF(A66&gt;Inputs!$B$8,0,G66*Inputs!$B$19)</f>
        <v>138395.200994801</v>
      </c>
      <c r="I66" s="18" t="n">
        <f aca="false">IF(B66="work",F66,0)</f>
        <v>0</v>
      </c>
      <c r="J66" s="18" t="n">
        <f aca="false">IF(AND(A66&gt;=Inputs!$B$23,A66&lt;Inputs!$B$8),Inputs!$B$32,0)</f>
        <v>30438.9743589744</v>
      </c>
      <c r="K66" s="18" t="n">
        <f aca="false">IF(AND(A66&gt;=Inputs!$B$33,A66&lt;Inputs!$B$8),Inputs!$B$35,0)</f>
        <v>9000</v>
      </c>
      <c r="L66" s="18" t="n">
        <f aca="false">IF(B66="retire",Summary!$B$11-J66-K66,0)</f>
        <v>492473.652570087</v>
      </c>
      <c r="M66" s="18" t="n">
        <f aca="false">IF(B66="work",E66,IF(B66="retire",J66+K66+L66,0))</f>
        <v>531912.626929062</v>
      </c>
      <c r="N66" s="18" t="n">
        <f aca="false">IF(A66&gt;=Inputs!$B$8,0,G66*(1+Inputs!$B$19)+I66-L66)</f>
        <v>1622995.84835044</v>
      </c>
    </row>
    <row r="67" customFormat="false" ht="15" hidden="false" customHeight="false" outlineLevel="0" collapsed="false">
      <c r="A67" s="23" t="n">
        <f aca="false">A66+1</f>
        <v>94</v>
      </c>
      <c r="B67" s="21" t="str">
        <f aca="false">IF(A67&lt;Inputs!$B$20,"work",IF(A67&lt;Inputs!$B$8,"retire","—"))</f>
        <v>retire</v>
      </c>
      <c r="C67" s="18" t="n">
        <f aca="false">IF(B67&lt;&gt;"work",0,IF(A67-Inputs!$B$5&lt;Inputs!$B$13,Inputs!$B$11+(Inputs!$B$12-Inputs!$B$11)*(A67-Inputs!$B$5)/Inputs!$B$13,IF(A67-Inputs!$B$5&lt;Inputs!$B$13+Inputs!$B$14,Inputs!$B$12,Inputs!$B$15)))</f>
        <v>0</v>
      </c>
      <c r="D67" s="18" t="n">
        <f aca="false">IF(C67&lt;=0,0,VLOOKUP(C67,Inputs!$A$39:$C$48,3,TRUE())+(C67-VLOOKUP(C67,Inputs!$A$39:$C$48,1,TRUE()))*VLOOKUP(C67,Inputs!$A$39:$C$48,2,TRUE()))</f>
        <v>0</v>
      </c>
      <c r="E67" s="18" t="n">
        <f aca="false">C67-D67</f>
        <v>0</v>
      </c>
      <c r="F67" s="18" t="n">
        <f aca="false">IF(B67="work",E67*Inputs!$B$16,0)</f>
        <v>0</v>
      </c>
      <c r="G67" s="18" t="n">
        <f aca="false">N66</f>
        <v>1622995.84835044</v>
      </c>
      <c r="H67" s="18" t="n">
        <f aca="false">IF(A67&gt;Inputs!$B$8,0,G67*Inputs!$B$19)</f>
        <v>113609.709384531</v>
      </c>
      <c r="I67" s="18" t="n">
        <f aca="false">IF(B67="work",F67,0)</f>
        <v>0</v>
      </c>
      <c r="J67" s="18" t="n">
        <f aca="false">IF(AND(A67&gt;=Inputs!$B$23,A67&lt;Inputs!$B$8),Inputs!$B$32,0)</f>
        <v>30438.9743589744</v>
      </c>
      <c r="K67" s="18" t="n">
        <f aca="false">IF(AND(A67&gt;=Inputs!$B$33,A67&lt;Inputs!$B$8),Inputs!$B$35,0)</f>
        <v>9000</v>
      </c>
      <c r="L67" s="18" t="n">
        <f aca="false">IF(B67="retire",Summary!$B$11-J67-K67,0)</f>
        <v>492473.652570087</v>
      </c>
      <c r="M67" s="18" t="n">
        <f aca="false">IF(B67="work",E67,IF(B67="retire",J67+K67+L67,0))</f>
        <v>531912.626929062</v>
      </c>
      <c r="N67" s="18" t="n">
        <f aca="false">IF(A67&gt;=Inputs!$B$8,0,G67*(1+Inputs!$B$19)+I67-L67)</f>
        <v>1244131.90516488</v>
      </c>
    </row>
    <row r="68" customFormat="false" ht="15" hidden="false" customHeight="false" outlineLevel="0" collapsed="false">
      <c r="A68" s="23" t="n">
        <f aca="false">A67+1</f>
        <v>95</v>
      </c>
      <c r="B68" s="21" t="str">
        <f aca="false">IF(A68&lt;Inputs!$B$20,"work",IF(A68&lt;Inputs!$B$8,"retire","—"))</f>
        <v>—</v>
      </c>
      <c r="C68" s="18" t="n">
        <f aca="false">IF(B68&lt;&gt;"work",0,IF(A68-Inputs!$B$5&lt;Inputs!$B$13,Inputs!$B$11+(Inputs!$B$12-Inputs!$B$11)*(A68-Inputs!$B$5)/Inputs!$B$13,IF(A68-Inputs!$B$5&lt;Inputs!$B$13+Inputs!$B$14,Inputs!$B$12,Inputs!$B$15)))</f>
        <v>0</v>
      </c>
      <c r="D68" s="18" t="n">
        <f aca="false">IF(C68&lt;=0,0,VLOOKUP(C68,Inputs!$A$39:$C$48,3,TRUE())+(C68-VLOOKUP(C68,Inputs!$A$39:$C$48,1,TRUE()))*VLOOKUP(C68,Inputs!$A$39:$C$48,2,TRUE()))</f>
        <v>0</v>
      </c>
      <c r="E68" s="18" t="n">
        <f aca="false">C68-D68</f>
        <v>0</v>
      </c>
      <c r="F68" s="18" t="n">
        <f aca="false">IF(B68="work",E68*Inputs!$B$16,0)</f>
        <v>0</v>
      </c>
      <c r="G68" s="18" t="n">
        <f aca="false">N67</f>
        <v>1244131.90516488</v>
      </c>
      <c r="H68" s="18" t="n">
        <f aca="false">IF(A68&gt;Inputs!$B$8,0,G68*Inputs!$B$19)</f>
        <v>87089.2333615419</v>
      </c>
      <c r="I68" s="18" t="n">
        <f aca="false">IF(B68="work",F68,0)</f>
        <v>0</v>
      </c>
      <c r="J68" s="18" t="n">
        <f aca="false">IF(AND(A68&gt;=Inputs!$B$23,A68&lt;Inputs!$B$8),Inputs!$B$32,0)</f>
        <v>0</v>
      </c>
      <c r="K68" s="18" t="n">
        <f aca="false">IF(AND(A68&gt;=Inputs!$B$33,A68&lt;Inputs!$B$8),Inputs!$B$35,0)</f>
        <v>0</v>
      </c>
      <c r="L68" s="18" t="n">
        <f aca="false">IF(B68="retire",Summary!$B$11-J68-K68,0)</f>
        <v>0</v>
      </c>
      <c r="M68" s="18" t="n">
        <f aca="false">IF(B68="work",E68,IF(B68="retire",J68+K68+L68,0))</f>
        <v>0</v>
      </c>
      <c r="N68" s="18" t="n">
        <f aca="false">IF(A68&gt;=Inputs!$B$8,0,G68*(1+Inputs!$B$19)+I68-L68)</f>
        <v>0</v>
      </c>
    </row>
    <row r="69" customFormat="false" ht="15" hidden="false" customHeight="false" outlineLevel="0" collapsed="false">
      <c r="A69" s="23" t="n">
        <f aca="false">A68+1</f>
        <v>96</v>
      </c>
      <c r="B69" s="21" t="str">
        <f aca="false">IF(A69&lt;Inputs!$B$20,"work",IF(A69&lt;Inputs!$B$8,"retire","—"))</f>
        <v>—</v>
      </c>
      <c r="C69" s="18" t="n">
        <f aca="false">IF(B69&lt;&gt;"work",0,IF(A69-Inputs!$B$5&lt;Inputs!$B$13,Inputs!$B$11+(Inputs!$B$12-Inputs!$B$11)*(A69-Inputs!$B$5)/Inputs!$B$13,IF(A69-Inputs!$B$5&lt;Inputs!$B$13+Inputs!$B$14,Inputs!$B$12,Inputs!$B$15)))</f>
        <v>0</v>
      </c>
      <c r="D69" s="18" t="n">
        <f aca="false">IF(C69&lt;=0,0,VLOOKUP(C69,Inputs!$A$39:$C$48,3,TRUE())+(C69-VLOOKUP(C69,Inputs!$A$39:$C$48,1,TRUE()))*VLOOKUP(C69,Inputs!$A$39:$C$48,2,TRUE()))</f>
        <v>0</v>
      </c>
      <c r="E69" s="18" t="n">
        <f aca="false">C69-D69</f>
        <v>0</v>
      </c>
      <c r="F69" s="18" t="n">
        <f aca="false">IF(B69="work",E69*Inputs!$B$16,0)</f>
        <v>0</v>
      </c>
      <c r="G69" s="18" t="n">
        <f aca="false">N68</f>
        <v>0</v>
      </c>
      <c r="H69" s="18" t="n">
        <f aca="false">IF(A69&gt;Inputs!$B$8,0,G69*Inputs!$B$19)</f>
        <v>0</v>
      </c>
      <c r="I69" s="18" t="n">
        <f aca="false">IF(B69="work",F69,0)</f>
        <v>0</v>
      </c>
      <c r="J69" s="18" t="n">
        <f aca="false">IF(AND(A69&gt;=Inputs!$B$23,A69&lt;Inputs!$B$8),Inputs!$B$32,0)</f>
        <v>0</v>
      </c>
      <c r="K69" s="18" t="n">
        <f aca="false">IF(AND(A69&gt;=Inputs!$B$33,A69&lt;Inputs!$B$8),Inputs!$B$35,0)</f>
        <v>0</v>
      </c>
      <c r="L69" s="18" t="n">
        <f aca="false">IF(B69="retire",Summary!$B$11-J69-K69,0)</f>
        <v>0</v>
      </c>
      <c r="M69" s="18" t="n">
        <f aca="false">IF(B69="work",E69,IF(B69="retire",J69+K69+L69,0))</f>
        <v>0</v>
      </c>
      <c r="N69" s="18" t="n">
        <f aca="false">IF(A69&gt;=Inputs!$B$8,0,G69*(1+Inputs!$B$19)+I69-L69)</f>
        <v>0</v>
      </c>
    </row>
    <row r="70" customFormat="false" ht="15" hidden="false" customHeight="false" outlineLevel="0" collapsed="false">
      <c r="A70" s="23" t="n">
        <f aca="false">A69+1</f>
        <v>97</v>
      </c>
      <c r="B70" s="21" t="str">
        <f aca="false">IF(A70&lt;Inputs!$B$20,"work",IF(A70&lt;Inputs!$B$8,"retire","—"))</f>
        <v>—</v>
      </c>
      <c r="C70" s="18" t="n">
        <f aca="false">IF(B70&lt;&gt;"work",0,IF(A70-Inputs!$B$5&lt;Inputs!$B$13,Inputs!$B$11+(Inputs!$B$12-Inputs!$B$11)*(A70-Inputs!$B$5)/Inputs!$B$13,IF(A70-Inputs!$B$5&lt;Inputs!$B$13+Inputs!$B$14,Inputs!$B$12,Inputs!$B$15)))</f>
        <v>0</v>
      </c>
      <c r="D70" s="18" t="n">
        <f aca="false">IF(C70&lt;=0,0,VLOOKUP(C70,Inputs!$A$39:$C$48,3,TRUE())+(C70-VLOOKUP(C70,Inputs!$A$39:$C$48,1,TRUE()))*VLOOKUP(C70,Inputs!$A$39:$C$48,2,TRUE()))</f>
        <v>0</v>
      </c>
      <c r="E70" s="18" t="n">
        <f aca="false">C70-D70</f>
        <v>0</v>
      </c>
      <c r="F70" s="18" t="n">
        <f aca="false">IF(B70="work",E70*Inputs!$B$16,0)</f>
        <v>0</v>
      </c>
      <c r="G70" s="18" t="n">
        <f aca="false">N69</f>
        <v>0</v>
      </c>
      <c r="H70" s="18" t="n">
        <f aca="false">IF(A70&gt;Inputs!$B$8,0,G70*Inputs!$B$19)</f>
        <v>0</v>
      </c>
      <c r="I70" s="18" t="n">
        <f aca="false">IF(B70="work",F70,0)</f>
        <v>0</v>
      </c>
      <c r="J70" s="18" t="n">
        <f aca="false">IF(AND(A70&gt;=Inputs!$B$23,A70&lt;Inputs!$B$8),Inputs!$B$32,0)</f>
        <v>0</v>
      </c>
      <c r="K70" s="18" t="n">
        <f aca="false">IF(AND(A70&gt;=Inputs!$B$33,A70&lt;Inputs!$B$8),Inputs!$B$35,0)</f>
        <v>0</v>
      </c>
      <c r="L70" s="18" t="n">
        <f aca="false">IF(B70="retire",Summary!$B$11-J70-K70,0)</f>
        <v>0</v>
      </c>
      <c r="M70" s="18" t="n">
        <f aca="false">IF(B70="work",E70,IF(B70="retire",J70+K70+L70,0))</f>
        <v>0</v>
      </c>
      <c r="N70" s="18" t="n">
        <f aca="false">IF(A70&gt;=Inputs!$B$8,0,G70*(1+Inputs!$B$19)+I70-L70)</f>
        <v>0</v>
      </c>
    </row>
    <row r="71" customFormat="false" ht="15" hidden="false" customHeight="false" outlineLevel="0" collapsed="false">
      <c r="A71" s="23" t="n">
        <f aca="false">A70+1</f>
        <v>98</v>
      </c>
      <c r="B71" s="21" t="str">
        <f aca="false">IF(A71&lt;Inputs!$B$20,"work",IF(A71&lt;Inputs!$B$8,"retire","—"))</f>
        <v>—</v>
      </c>
      <c r="C71" s="18" t="n">
        <f aca="false">IF(B71&lt;&gt;"work",0,IF(A71-Inputs!$B$5&lt;Inputs!$B$13,Inputs!$B$11+(Inputs!$B$12-Inputs!$B$11)*(A71-Inputs!$B$5)/Inputs!$B$13,IF(A71-Inputs!$B$5&lt;Inputs!$B$13+Inputs!$B$14,Inputs!$B$12,Inputs!$B$15)))</f>
        <v>0</v>
      </c>
      <c r="D71" s="18" t="n">
        <f aca="false">IF(C71&lt;=0,0,VLOOKUP(C71,Inputs!$A$39:$C$48,3,TRUE())+(C71-VLOOKUP(C71,Inputs!$A$39:$C$48,1,TRUE()))*VLOOKUP(C71,Inputs!$A$39:$C$48,2,TRUE()))</f>
        <v>0</v>
      </c>
      <c r="E71" s="18" t="n">
        <f aca="false">C71-D71</f>
        <v>0</v>
      </c>
      <c r="F71" s="18" t="n">
        <f aca="false">IF(B71="work",E71*Inputs!$B$16,0)</f>
        <v>0</v>
      </c>
      <c r="G71" s="18" t="n">
        <f aca="false">N70</f>
        <v>0</v>
      </c>
      <c r="H71" s="18" t="n">
        <f aca="false">IF(A71&gt;Inputs!$B$8,0,G71*Inputs!$B$19)</f>
        <v>0</v>
      </c>
      <c r="I71" s="18" t="n">
        <f aca="false">IF(B71="work",F71,0)</f>
        <v>0</v>
      </c>
      <c r="J71" s="18" t="n">
        <f aca="false">IF(AND(A71&gt;=Inputs!$B$23,A71&lt;Inputs!$B$8),Inputs!$B$32,0)</f>
        <v>0</v>
      </c>
      <c r="K71" s="18" t="n">
        <f aca="false">IF(AND(A71&gt;=Inputs!$B$33,A71&lt;Inputs!$B$8),Inputs!$B$35,0)</f>
        <v>0</v>
      </c>
      <c r="L71" s="18" t="n">
        <f aca="false">IF(B71="retire",Summary!$B$11-J71-K71,0)</f>
        <v>0</v>
      </c>
      <c r="M71" s="18" t="n">
        <f aca="false">IF(B71="work",E71,IF(B71="retire",J71+K71+L71,0))</f>
        <v>0</v>
      </c>
      <c r="N71" s="18" t="n">
        <f aca="false">IF(A71&gt;=Inputs!$B$8,0,G71*(1+Inputs!$B$19)+I71-L71)</f>
        <v>0</v>
      </c>
    </row>
    <row r="72" customFormat="false" ht="15" hidden="false" customHeight="false" outlineLevel="0" collapsed="false">
      <c r="A72" s="23" t="n">
        <f aca="false">A71+1</f>
        <v>99</v>
      </c>
      <c r="B72" s="21" t="str">
        <f aca="false">IF(A72&lt;Inputs!$B$20,"work",IF(A72&lt;Inputs!$B$8,"retire","—"))</f>
        <v>—</v>
      </c>
      <c r="C72" s="18" t="n">
        <f aca="false">IF(B72&lt;&gt;"work",0,IF(A72-Inputs!$B$5&lt;Inputs!$B$13,Inputs!$B$11+(Inputs!$B$12-Inputs!$B$11)*(A72-Inputs!$B$5)/Inputs!$B$13,IF(A72-Inputs!$B$5&lt;Inputs!$B$13+Inputs!$B$14,Inputs!$B$12,Inputs!$B$15)))</f>
        <v>0</v>
      </c>
      <c r="D72" s="18" t="n">
        <f aca="false">IF(C72&lt;=0,0,VLOOKUP(C72,Inputs!$A$39:$C$48,3,TRUE())+(C72-VLOOKUP(C72,Inputs!$A$39:$C$48,1,TRUE()))*VLOOKUP(C72,Inputs!$A$39:$C$48,2,TRUE()))</f>
        <v>0</v>
      </c>
      <c r="E72" s="18" t="n">
        <f aca="false">C72-D72</f>
        <v>0</v>
      </c>
      <c r="F72" s="18" t="n">
        <f aca="false">IF(B72="work",E72*Inputs!$B$16,0)</f>
        <v>0</v>
      </c>
      <c r="G72" s="18" t="n">
        <f aca="false">N71</f>
        <v>0</v>
      </c>
      <c r="H72" s="18" t="n">
        <f aca="false">IF(A72&gt;Inputs!$B$8,0,G72*Inputs!$B$19)</f>
        <v>0</v>
      </c>
      <c r="I72" s="18" t="n">
        <f aca="false">IF(B72="work",F72,0)</f>
        <v>0</v>
      </c>
      <c r="J72" s="18" t="n">
        <f aca="false">IF(AND(A72&gt;=Inputs!$B$23,A72&lt;Inputs!$B$8),Inputs!$B$32,0)</f>
        <v>0</v>
      </c>
      <c r="K72" s="18" t="n">
        <f aca="false">IF(AND(A72&gt;=Inputs!$B$33,A72&lt;Inputs!$B$8),Inputs!$B$35,0)</f>
        <v>0</v>
      </c>
      <c r="L72" s="18" t="n">
        <f aca="false">IF(B72="retire",Summary!$B$11-J72-K72,0)</f>
        <v>0</v>
      </c>
      <c r="M72" s="18" t="n">
        <f aca="false">IF(B72="work",E72,IF(B72="retire",J72+K72+L72,0))</f>
        <v>0</v>
      </c>
      <c r="N72" s="18" t="n">
        <f aca="false">IF(A72&gt;=Inputs!$B$8,0,G72*(1+Inputs!$B$19)+I72-L72)</f>
        <v>0</v>
      </c>
    </row>
    <row r="73" customFormat="false" ht="15" hidden="false" customHeight="false" outlineLevel="0" collapsed="false">
      <c r="A73" s="23" t="n">
        <f aca="false">A72+1</f>
        <v>100</v>
      </c>
      <c r="B73" s="21" t="str">
        <f aca="false">IF(A73&lt;Inputs!$B$20,"work",IF(A73&lt;Inputs!$B$8,"retire","—"))</f>
        <v>—</v>
      </c>
      <c r="C73" s="18" t="n">
        <f aca="false">IF(B73&lt;&gt;"work",0,IF(A73-Inputs!$B$5&lt;Inputs!$B$13,Inputs!$B$11+(Inputs!$B$12-Inputs!$B$11)*(A73-Inputs!$B$5)/Inputs!$B$13,IF(A73-Inputs!$B$5&lt;Inputs!$B$13+Inputs!$B$14,Inputs!$B$12,Inputs!$B$15)))</f>
        <v>0</v>
      </c>
      <c r="D73" s="18" t="n">
        <f aca="false">IF(C73&lt;=0,0,VLOOKUP(C73,Inputs!$A$39:$C$48,3,TRUE())+(C73-VLOOKUP(C73,Inputs!$A$39:$C$48,1,TRUE()))*VLOOKUP(C73,Inputs!$A$39:$C$48,2,TRUE()))</f>
        <v>0</v>
      </c>
      <c r="E73" s="18" t="n">
        <f aca="false">C73-D73</f>
        <v>0</v>
      </c>
      <c r="F73" s="18" t="n">
        <f aca="false">IF(B73="work",E73*Inputs!$B$16,0)</f>
        <v>0</v>
      </c>
      <c r="G73" s="18" t="n">
        <f aca="false">N72</f>
        <v>0</v>
      </c>
      <c r="H73" s="18" t="n">
        <f aca="false">IF(A73&gt;Inputs!$B$8,0,G73*Inputs!$B$19)</f>
        <v>0</v>
      </c>
      <c r="I73" s="18" t="n">
        <f aca="false">IF(B73="work",F73,0)</f>
        <v>0</v>
      </c>
      <c r="J73" s="18" t="n">
        <f aca="false">IF(AND(A73&gt;=Inputs!$B$23,A73&lt;Inputs!$B$8),Inputs!$B$32,0)</f>
        <v>0</v>
      </c>
      <c r="K73" s="18" t="n">
        <f aca="false">IF(AND(A73&gt;=Inputs!$B$33,A73&lt;Inputs!$B$8),Inputs!$B$35,0)</f>
        <v>0</v>
      </c>
      <c r="L73" s="18" t="n">
        <f aca="false">IF(B73="retire",Summary!$B$11-J73-K73,0)</f>
        <v>0</v>
      </c>
      <c r="M73" s="18" t="n">
        <f aca="false">IF(B73="work",E73,IF(B73="retire",J73+K73+L73,0))</f>
        <v>0</v>
      </c>
      <c r="N73" s="18" t="n">
        <f aca="false">IF(A73&gt;=Inputs!$B$8,0,G73*(1+Inputs!$B$19)+I73-L73)</f>
        <v>0</v>
      </c>
    </row>
    <row r="74" customFormat="false" ht="15" hidden="false" customHeight="false" outlineLevel="0" collapsed="false">
      <c r="A74" s="23" t="n">
        <f aca="false">A73+1</f>
        <v>101</v>
      </c>
      <c r="B74" s="21" t="str">
        <f aca="false">IF(A74&lt;Inputs!$B$20,"work",IF(A74&lt;Inputs!$B$8,"retire","—"))</f>
        <v>—</v>
      </c>
      <c r="C74" s="18" t="n">
        <f aca="false">IF(B74&lt;&gt;"work",0,IF(A74-Inputs!$B$5&lt;Inputs!$B$13,Inputs!$B$11+(Inputs!$B$12-Inputs!$B$11)*(A74-Inputs!$B$5)/Inputs!$B$13,IF(A74-Inputs!$B$5&lt;Inputs!$B$13+Inputs!$B$14,Inputs!$B$12,Inputs!$B$15)))</f>
        <v>0</v>
      </c>
      <c r="D74" s="18" t="n">
        <f aca="false">IF(C74&lt;=0,0,VLOOKUP(C74,Inputs!$A$39:$C$48,3,TRUE())+(C74-VLOOKUP(C74,Inputs!$A$39:$C$48,1,TRUE()))*VLOOKUP(C74,Inputs!$A$39:$C$48,2,TRUE()))</f>
        <v>0</v>
      </c>
      <c r="E74" s="18" t="n">
        <f aca="false">C74-D74</f>
        <v>0</v>
      </c>
      <c r="F74" s="18" t="n">
        <f aca="false">IF(B74="work",E74*Inputs!$B$16,0)</f>
        <v>0</v>
      </c>
      <c r="G74" s="18" t="n">
        <f aca="false">N73</f>
        <v>0</v>
      </c>
      <c r="H74" s="18" t="n">
        <f aca="false">IF(A74&gt;Inputs!$B$8,0,G74*Inputs!$B$19)</f>
        <v>0</v>
      </c>
      <c r="I74" s="18" t="n">
        <f aca="false">IF(B74="work",F74,0)</f>
        <v>0</v>
      </c>
      <c r="J74" s="18" t="n">
        <f aca="false">IF(AND(A74&gt;=Inputs!$B$23,A74&lt;Inputs!$B$8),Inputs!$B$32,0)</f>
        <v>0</v>
      </c>
      <c r="K74" s="18" t="n">
        <f aca="false">IF(AND(A74&gt;=Inputs!$B$33,A74&lt;Inputs!$B$8),Inputs!$B$35,0)</f>
        <v>0</v>
      </c>
      <c r="L74" s="18" t="n">
        <f aca="false">IF(B74="retire",Summary!$B$11-J74-K74,0)</f>
        <v>0</v>
      </c>
      <c r="M74" s="18" t="n">
        <f aca="false">IF(B74="work",E74,IF(B74="retire",J74+K74+L74,0))</f>
        <v>0</v>
      </c>
      <c r="N74" s="18" t="n">
        <f aca="false">IF(A74&gt;=Inputs!$B$8,0,G74*(1+Inputs!$B$19)+I74-L74)</f>
        <v>0</v>
      </c>
    </row>
    <row r="75" customFormat="false" ht="15" hidden="false" customHeight="false" outlineLevel="0" collapsed="false">
      <c r="A75" s="23" t="n">
        <f aca="false">A74+1</f>
        <v>102</v>
      </c>
      <c r="B75" s="21" t="str">
        <f aca="false">IF(A75&lt;Inputs!$B$20,"work",IF(A75&lt;Inputs!$B$8,"retire","—"))</f>
        <v>—</v>
      </c>
      <c r="C75" s="18" t="n">
        <f aca="false">IF(B75&lt;&gt;"work",0,IF(A75-Inputs!$B$5&lt;Inputs!$B$13,Inputs!$B$11+(Inputs!$B$12-Inputs!$B$11)*(A75-Inputs!$B$5)/Inputs!$B$13,IF(A75-Inputs!$B$5&lt;Inputs!$B$13+Inputs!$B$14,Inputs!$B$12,Inputs!$B$15)))</f>
        <v>0</v>
      </c>
      <c r="D75" s="18" t="n">
        <f aca="false">IF(C75&lt;=0,0,VLOOKUP(C75,Inputs!$A$39:$C$48,3,TRUE())+(C75-VLOOKUP(C75,Inputs!$A$39:$C$48,1,TRUE()))*VLOOKUP(C75,Inputs!$A$39:$C$48,2,TRUE()))</f>
        <v>0</v>
      </c>
      <c r="E75" s="18" t="n">
        <f aca="false">C75-D75</f>
        <v>0</v>
      </c>
      <c r="F75" s="18" t="n">
        <f aca="false">IF(B75="work",E75*Inputs!$B$16,0)</f>
        <v>0</v>
      </c>
      <c r="G75" s="18" t="n">
        <f aca="false">N74</f>
        <v>0</v>
      </c>
      <c r="H75" s="18" t="n">
        <f aca="false">IF(A75&gt;Inputs!$B$8,0,G75*Inputs!$B$19)</f>
        <v>0</v>
      </c>
      <c r="I75" s="18" t="n">
        <f aca="false">IF(B75="work",F75,0)</f>
        <v>0</v>
      </c>
      <c r="J75" s="18" t="n">
        <f aca="false">IF(AND(A75&gt;=Inputs!$B$23,A75&lt;Inputs!$B$8),Inputs!$B$32,0)</f>
        <v>0</v>
      </c>
      <c r="K75" s="18" t="n">
        <f aca="false">IF(AND(A75&gt;=Inputs!$B$33,A75&lt;Inputs!$B$8),Inputs!$B$35,0)</f>
        <v>0</v>
      </c>
      <c r="L75" s="18" t="n">
        <f aca="false">IF(B75="retire",Summary!$B$11-J75-K75,0)</f>
        <v>0</v>
      </c>
      <c r="M75" s="18" t="n">
        <f aca="false">IF(B75="work",E75,IF(B75="retire",J75+K75+L75,0))</f>
        <v>0</v>
      </c>
      <c r="N75" s="18" t="n">
        <f aca="false">IF(A75&gt;=Inputs!$B$8,0,G75*(1+Inputs!$B$19)+I75-L75)</f>
        <v>0</v>
      </c>
    </row>
    <row r="76" customFormat="false" ht="15" hidden="false" customHeight="false" outlineLevel="0" collapsed="false">
      <c r="A76" s="23" t="n">
        <f aca="false">A75+1</f>
        <v>103</v>
      </c>
      <c r="B76" s="21" t="str">
        <f aca="false">IF(A76&lt;Inputs!$B$20,"work",IF(A76&lt;Inputs!$B$8,"retire","—"))</f>
        <v>—</v>
      </c>
      <c r="C76" s="18" t="n">
        <f aca="false">IF(B76&lt;&gt;"work",0,IF(A76-Inputs!$B$5&lt;Inputs!$B$13,Inputs!$B$11+(Inputs!$B$12-Inputs!$B$11)*(A76-Inputs!$B$5)/Inputs!$B$13,IF(A76-Inputs!$B$5&lt;Inputs!$B$13+Inputs!$B$14,Inputs!$B$12,Inputs!$B$15)))</f>
        <v>0</v>
      </c>
      <c r="D76" s="18" t="n">
        <f aca="false">IF(C76&lt;=0,0,VLOOKUP(C76,Inputs!$A$39:$C$48,3,TRUE())+(C76-VLOOKUP(C76,Inputs!$A$39:$C$48,1,TRUE()))*VLOOKUP(C76,Inputs!$A$39:$C$48,2,TRUE()))</f>
        <v>0</v>
      </c>
      <c r="E76" s="18" t="n">
        <f aca="false">C76-D76</f>
        <v>0</v>
      </c>
      <c r="F76" s="18" t="n">
        <f aca="false">IF(B76="work",E76*Inputs!$B$16,0)</f>
        <v>0</v>
      </c>
      <c r="G76" s="18" t="n">
        <f aca="false">N75</f>
        <v>0</v>
      </c>
      <c r="H76" s="18" t="n">
        <f aca="false">IF(A76&gt;Inputs!$B$8,0,G76*Inputs!$B$19)</f>
        <v>0</v>
      </c>
      <c r="I76" s="18" t="n">
        <f aca="false">IF(B76="work",F76,0)</f>
        <v>0</v>
      </c>
      <c r="J76" s="18" t="n">
        <f aca="false">IF(AND(A76&gt;=Inputs!$B$23,A76&lt;Inputs!$B$8),Inputs!$B$32,0)</f>
        <v>0</v>
      </c>
      <c r="K76" s="18" t="n">
        <f aca="false">IF(AND(A76&gt;=Inputs!$B$33,A76&lt;Inputs!$B$8),Inputs!$B$35,0)</f>
        <v>0</v>
      </c>
      <c r="L76" s="18" t="n">
        <f aca="false">IF(B76="retire",Summary!$B$11-J76-K76,0)</f>
        <v>0</v>
      </c>
      <c r="M76" s="18" t="n">
        <f aca="false">IF(B76="work",E76,IF(B76="retire",J76+K76+L76,0))</f>
        <v>0</v>
      </c>
      <c r="N76" s="18" t="n">
        <f aca="false">IF(A76&gt;=Inputs!$B$8,0,G76*(1+Inputs!$B$19)+I76-L76)</f>
        <v>0</v>
      </c>
    </row>
    <row r="77" customFormat="false" ht="15" hidden="false" customHeight="false" outlineLevel="0" collapsed="false">
      <c r="A77" s="23" t="n">
        <f aca="false">A76+1</f>
        <v>104</v>
      </c>
      <c r="B77" s="21" t="str">
        <f aca="false">IF(A77&lt;Inputs!$B$20,"work",IF(A77&lt;Inputs!$B$8,"retire","—"))</f>
        <v>—</v>
      </c>
      <c r="C77" s="18" t="n">
        <f aca="false">IF(B77&lt;&gt;"work",0,IF(A77-Inputs!$B$5&lt;Inputs!$B$13,Inputs!$B$11+(Inputs!$B$12-Inputs!$B$11)*(A77-Inputs!$B$5)/Inputs!$B$13,IF(A77-Inputs!$B$5&lt;Inputs!$B$13+Inputs!$B$14,Inputs!$B$12,Inputs!$B$15)))</f>
        <v>0</v>
      </c>
      <c r="D77" s="18" t="n">
        <f aca="false">IF(C77&lt;=0,0,VLOOKUP(C77,Inputs!$A$39:$C$48,3,TRUE())+(C77-VLOOKUP(C77,Inputs!$A$39:$C$48,1,TRUE()))*VLOOKUP(C77,Inputs!$A$39:$C$48,2,TRUE()))</f>
        <v>0</v>
      </c>
      <c r="E77" s="18" t="n">
        <f aca="false">C77-D77</f>
        <v>0</v>
      </c>
      <c r="F77" s="18" t="n">
        <f aca="false">IF(B77="work",E77*Inputs!$B$16,0)</f>
        <v>0</v>
      </c>
      <c r="G77" s="18" t="n">
        <f aca="false">N76</f>
        <v>0</v>
      </c>
      <c r="H77" s="18" t="n">
        <f aca="false">IF(A77&gt;Inputs!$B$8,0,G77*Inputs!$B$19)</f>
        <v>0</v>
      </c>
      <c r="I77" s="18" t="n">
        <f aca="false">IF(B77="work",F77,0)</f>
        <v>0</v>
      </c>
      <c r="J77" s="18" t="n">
        <f aca="false">IF(AND(A77&gt;=Inputs!$B$23,A77&lt;Inputs!$B$8),Inputs!$B$32,0)</f>
        <v>0</v>
      </c>
      <c r="K77" s="18" t="n">
        <f aca="false">IF(AND(A77&gt;=Inputs!$B$33,A77&lt;Inputs!$B$8),Inputs!$B$35,0)</f>
        <v>0</v>
      </c>
      <c r="L77" s="18" t="n">
        <f aca="false">IF(B77="retire",Summary!$B$11-J77-K77,0)</f>
        <v>0</v>
      </c>
      <c r="M77" s="18" t="n">
        <f aca="false">IF(B77="work",E77,IF(B77="retire",J77+K77+L77,0))</f>
        <v>0</v>
      </c>
      <c r="N77" s="18" t="n">
        <f aca="false">IF(A77&gt;=Inputs!$B$8,0,G77*(1+Inputs!$B$19)+I77-L77)</f>
        <v>0</v>
      </c>
    </row>
    <row r="78" customFormat="false" ht="15" hidden="false" customHeight="false" outlineLevel="0" collapsed="false">
      <c r="A78" s="23" t="n">
        <f aca="false">A77+1</f>
        <v>105</v>
      </c>
      <c r="B78" s="21" t="str">
        <f aca="false">IF(A78&lt;Inputs!$B$20,"work",IF(A78&lt;Inputs!$B$8,"retire","—"))</f>
        <v>—</v>
      </c>
      <c r="C78" s="18" t="n">
        <f aca="false">IF(B78&lt;&gt;"work",0,IF(A78-Inputs!$B$5&lt;Inputs!$B$13,Inputs!$B$11+(Inputs!$B$12-Inputs!$B$11)*(A78-Inputs!$B$5)/Inputs!$B$13,IF(A78-Inputs!$B$5&lt;Inputs!$B$13+Inputs!$B$14,Inputs!$B$12,Inputs!$B$15)))</f>
        <v>0</v>
      </c>
      <c r="D78" s="18" t="n">
        <f aca="false">IF(C78&lt;=0,0,VLOOKUP(C78,Inputs!$A$39:$C$48,3,TRUE())+(C78-VLOOKUP(C78,Inputs!$A$39:$C$48,1,TRUE()))*VLOOKUP(C78,Inputs!$A$39:$C$48,2,TRUE()))</f>
        <v>0</v>
      </c>
      <c r="E78" s="18" t="n">
        <f aca="false">C78-D78</f>
        <v>0</v>
      </c>
      <c r="F78" s="18" t="n">
        <f aca="false">IF(B78="work",E78*Inputs!$B$16,0)</f>
        <v>0</v>
      </c>
      <c r="G78" s="18" t="n">
        <f aca="false">N77</f>
        <v>0</v>
      </c>
      <c r="H78" s="18" t="n">
        <f aca="false">IF(A78&gt;Inputs!$B$8,0,G78*Inputs!$B$19)</f>
        <v>0</v>
      </c>
      <c r="I78" s="18" t="n">
        <f aca="false">IF(B78="work",F78,0)</f>
        <v>0</v>
      </c>
      <c r="J78" s="18" t="n">
        <f aca="false">IF(AND(A78&gt;=Inputs!$B$23,A78&lt;Inputs!$B$8),Inputs!$B$32,0)</f>
        <v>0</v>
      </c>
      <c r="K78" s="18" t="n">
        <f aca="false">IF(AND(A78&gt;=Inputs!$B$33,A78&lt;Inputs!$B$8),Inputs!$B$35,0)</f>
        <v>0</v>
      </c>
      <c r="L78" s="18" t="n">
        <f aca="false">IF(B78="retire",Summary!$B$11-J78-K78,0)</f>
        <v>0</v>
      </c>
      <c r="M78" s="18" t="n">
        <f aca="false">IF(B78="work",E78,IF(B78="retire",J78+K78+L78,0))</f>
        <v>0</v>
      </c>
      <c r="N78" s="18" t="n">
        <f aca="false">IF(A78&gt;=Inputs!$B$8,0,G78*(1+Inputs!$B$19)+I78-L78)</f>
        <v>0</v>
      </c>
    </row>
    <row r="79" customFormat="false" ht="15" hidden="false" customHeight="false" outlineLevel="0" collapsed="false">
      <c r="A79" s="23" t="n">
        <f aca="false">A78+1</f>
        <v>106</v>
      </c>
      <c r="B79" s="21" t="str">
        <f aca="false">IF(A79&lt;Inputs!$B$20,"work",IF(A79&lt;Inputs!$B$8,"retire","—"))</f>
        <v>—</v>
      </c>
      <c r="C79" s="18" t="n">
        <f aca="false">IF(B79&lt;&gt;"work",0,IF(A79-Inputs!$B$5&lt;Inputs!$B$13,Inputs!$B$11+(Inputs!$B$12-Inputs!$B$11)*(A79-Inputs!$B$5)/Inputs!$B$13,IF(A79-Inputs!$B$5&lt;Inputs!$B$13+Inputs!$B$14,Inputs!$B$12,Inputs!$B$15)))</f>
        <v>0</v>
      </c>
      <c r="D79" s="18" t="n">
        <f aca="false">IF(C79&lt;=0,0,VLOOKUP(C79,Inputs!$A$39:$C$48,3,TRUE())+(C79-VLOOKUP(C79,Inputs!$A$39:$C$48,1,TRUE()))*VLOOKUP(C79,Inputs!$A$39:$C$48,2,TRUE()))</f>
        <v>0</v>
      </c>
      <c r="E79" s="18" t="n">
        <f aca="false">C79-D79</f>
        <v>0</v>
      </c>
      <c r="F79" s="18" t="n">
        <f aca="false">IF(B79="work",E79*Inputs!$B$16,0)</f>
        <v>0</v>
      </c>
      <c r="G79" s="18" t="n">
        <f aca="false">N78</f>
        <v>0</v>
      </c>
      <c r="H79" s="18" t="n">
        <f aca="false">IF(A79&gt;Inputs!$B$8,0,G79*Inputs!$B$19)</f>
        <v>0</v>
      </c>
      <c r="I79" s="18" t="n">
        <f aca="false">IF(B79="work",F79,0)</f>
        <v>0</v>
      </c>
      <c r="J79" s="18" t="n">
        <f aca="false">IF(AND(A79&gt;=Inputs!$B$23,A79&lt;Inputs!$B$8),Inputs!$B$32,0)</f>
        <v>0</v>
      </c>
      <c r="K79" s="18" t="n">
        <f aca="false">IF(AND(A79&gt;=Inputs!$B$33,A79&lt;Inputs!$B$8),Inputs!$B$35,0)</f>
        <v>0</v>
      </c>
      <c r="L79" s="18" t="n">
        <f aca="false">IF(B79="retire",Summary!$B$11-J79-K79,0)</f>
        <v>0</v>
      </c>
      <c r="M79" s="18" t="n">
        <f aca="false">IF(B79="work",E79,IF(B79="retire",J79+K79+L79,0))</f>
        <v>0</v>
      </c>
      <c r="N79" s="18" t="n">
        <f aca="false">IF(A79&gt;=Inputs!$B$8,0,G79*(1+Inputs!$B$19)+I79-L79)</f>
        <v>0</v>
      </c>
    </row>
    <row r="80" customFormat="false" ht="15" hidden="false" customHeight="false" outlineLevel="0" collapsed="false">
      <c r="A80" s="23" t="n">
        <f aca="false">A79+1</f>
        <v>107</v>
      </c>
      <c r="B80" s="21" t="str">
        <f aca="false">IF(A80&lt;Inputs!$B$20,"work",IF(A80&lt;Inputs!$B$8,"retire","—"))</f>
        <v>—</v>
      </c>
      <c r="C80" s="18" t="n">
        <f aca="false">IF(B80&lt;&gt;"work",0,IF(A80-Inputs!$B$5&lt;Inputs!$B$13,Inputs!$B$11+(Inputs!$B$12-Inputs!$B$11)*(A80-Inputs!$B$5)/Inputs!$B$13,IF(A80-Inputs!$B$5&lt;Inputs!$B$13+Inputs!$B$14,Inputs!$B$12,Inputs!$B$15)))</f>
        <v>0</v>
      </c>
      <c r="D80" s="18" t="n">
        <f aca="false">IF(C80&lt;=0,0,VLOOKUP(C80,Inputs!$A$39:$C$48,3,TRUE())+(C80-VLOOKUP(C80,Inputs!$A$39:$C$48,1,TRUE()))*VLOOKUP(C80,Inputs!$A$39:$C$48,2,TRUE()))</f>
        <v>0</v>
      </c>
      <c r="E80" s="18" t="n">
        <f aca="false">C80-D80</f>
        <v>0</v>
      </c>
      <c r="F80" s="18" t="n">
        <f aca="false">IF(B80="work",E80*Inputs!$B$16,0)</f>
        <v>0</v>
      </c>
      <c r="G80" s="18" t="n">
        <f aca="false">N79</f>
        <v>0</v>
      </c>
      <c r="H80" s="18" t="n">
        <f aca="false">IF(A80&gt;Inputs!$B$8,0,G80*Inputs!$B$19)</f>
        <v>0</v>
      </c>
      <c r="I80" s="18" t="n">
        <f aca="false">IF(B80="work",F80,0)</f>
        <v>0</v>
      </c>
      <c r="J80" s="18" t="n">
        <f aca="false">IF(AND(A80&gt;=Inputs!$B$23,A80&lt;Inputs!$B$8),Inputs!$B$32,0)</f>
        <v>0</v>
      </c>
      <c r="K80" s="18" t="n">
        <f aca="false">IF(AND(A80&gt;=Inputs!$B$33,A80&lt;Inputs!$B$8),Inputs!$B$35,0)</f>
        <v>0</v>
      </c>
      <c r="L80" s="18" t="n">
        <f aca="false">IF(B80="retire",Summary!$B$11-J80-K80,0)</f>
        <v>0</v>
      </c>
      <c r="M80" s="18" t="n">
        <f aca="false">IF(B80="work",E80,IF(B80="retire",J80+K80+L80,0))</f>
        <v>0</v>
      </c>
      <c r="N80" s="18" t="n">
        <f aca="false">IF(A80&gt;=Inputs!$B$8,0,G80*(1+Inputs!$B$19)+I80-L80)</f>
        <v>0</v>
      </c>
    </row>
    <row r="81" customFormat="false" ht="15" hidden="false" customHeight="false" outlineLevel="0" collapsed="false">
      <c r="A81" s="23" t="n">
        <f aca="false">A80+1</f>
        <v>108</v>
      </c>
      <c r="B81" s="21" t="str">
        <f aca="false">IF(A81&lt;Inputs!$B$20,"work",IF(A81&lt;Inputs!$B$8,"retire","—"))</f>
        <v>—</v>
      </c>
      <c r="C81" s="18" t="n">
        <f aca="false">IF(B81&lt;&gt;"work",0,IF(A81-Inputs!$B$5&lt;Inputs!$B$13,Inputs!$B$11+(Inputs!$B$12-Inputs!$B$11)*(A81-Inputs!$B$5)/Inputs!$B$13,IF(A81-Inputs!$B$5&lt;Inputs!$B$13+Inputs!$B$14,Inputs!$B$12,Inputs!$B$15)))</f>
        <v>0</v>
      </c>
      <c r="D81" s="18" t="n">
        <f aca="false">IF(C81&lt;=0,0,VLOOKUP(C81,Inputs!$A$39:$C$48,3,TRUE())+(C81-VLOOKUP(C81,Inputs!$A$39:$C$48,1,TRUE()))*VLOOKUP(C81,Inputs!$A$39:$C$48,2,TRUE()))</f>
        <v>0</v>
      </c>
      <c r="E81" s="18" t="n">
        <f aca="false">C81-D81</f>
        <v>0</v>
      </c>
      <c r="F81" s="18" t="n">
        <f aca="false">IF(B81="work",E81*Inputs!$B$16,0)</f>
        <v>0</v>
      </c>
      <c r="G81" s="18" t="n">
        <f aca="false">N80</f>
        <v>0</v>
      </c>
      <c r="H81" s="18" t="n">
        <f aca="false">IF(A81&gt;Inputs!$B$8,0,G81*Inputs!$B$19)</f>
        <v>0</v>
      </c>
      <c r="I81" s="18" t="n">
        <f aca="false">IF(B81="work",F81,0)</f>
        <v>0</v>
      </c>
      <c r="J81" s="18" t="n">
        <f aca="false">IF(AND(A81&gt;=Inputs!$B$23,A81&lt;Inputs!$B$8),Inputs!$B$32,0)</f>
        <v>0</v>
      </c>
      <c r="K81" s="18" t="n">
        <f aca="false">IF(AND(A81&gt;=Inputs!$B$33,A81&lt;Inputs!$B$8),Inputs!$B$35,0)</f>
        <v>0</v>
      </c>
      <c r="L81" s="18" t="n">
        <f aca="false">IF(B81="retire",Summary!$B$11-J81-K81,0)</f>
        <v>0</v>
      </c>
      <c r="M81" s="18" t="n">
        <f aca="false">IF(B81="work",E81,IF(B81="retire",J81+K81+L81,0))</f>
        <v>0</v>
      </c>
      <c r="N81" s="18" t="n">
        <f aca="false">IF(A81&gt;=Inputs!$B$8,0,G81*(1+Inputs!$B$19)+I81-L81)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4"/>
    <col collapsed="false" customWidth="true" hidden="false" outlineLevel="0" max="4" min="4" style="0" width="50"/>
  </cols>
  <sheetData>
    <row r="1" customFormat="false" ht="24.45" hidden="false" customHeight="false" outlineLevel="0" collapsed="false">
      <c r="A1" s="1" t="s">
        <v>66</v>
      </c>
      <c r="B1" s="1"/>
      <c r="C1" s="1"/>
      <c r="D1" s="1"/>
    </row>
    <row r="2" customFormat="false" ht="15" hidden="false" customHeight="false" outlineLevel="0" collapsed="false">
      <c r="A2" s="2" t="s">
        <v>67</v>
      </c>
      <c r="B2" s="2"/>
      <c r="C2" s="2"/>
      <c r="D2" s="2"/>
    </row>
    <row r="4" customFormat="false" ht="24.45" hidden="false" customHeight="false" outlineLevel="0" collapsed="false">
      <c r="A4" s="10" t="s">
        <v>68</v>
      </c>
      <c r="B4" s="24" t="n">
        <f aca="false">INDEX(Projection!G:G,MATCH(Inputs!$B$20,Projection!A:A,0))</f>
        <v>6743608.91613379</v>
      </c>
    </row>
    <row r="5" customFormat="false" ht="29.15" hidden="false" customHeight="false" outlineLevel="0" collapsed="false">
      <c r="A5" s="10" t="s">
        <v>69</v>
      </c>
      <c r="B5" s="25" t="n">
        <f aca="false">B11</f>
        <v>531912.626929062</v>
      </c>
    </row>
    <row r="6" customFormat="false" ht="15" hidden="false" customHeight="false" outlineLevel="0" collapsed="false">
      <c r="A6" s="10" t="s">
        <v>70</v>
      </c>
    </row>
    <row r="8" customFormat="false" ht="15" hidden="false" customHeight="false" outlineLevel="0" collapsed="false">
      <c r="A8" s="4" t="s">
        <v>71</v>
      </c>
      <c r="B8" s="5"/>
      <c r="C8" s="5"/>
      <c r="D8" s="5"/>
    </row>
    <row r="9" customFormat="false" ht="15" hidden="false" customHeight="false" outlineLevel="0" collapsed="false">
      <c r="A9" s="0" t="s">
        <v>72</v>
      </c>
      <c r="B9" s="23" t="n">
        <f aca="false">Inputs!$B$8-Inputs!$B$20</f>
        <v>35</v>
      </c>
      <c r="D9" s="10" t="s">
        <v>73</v>
      </c>
    </row>
    <row r="10" customFormat="false" ht="15" hidden="false" customHeight="false" outlineLevel="0" collapsed="false">
      <c r="A10" s="0" t="s">
        <v>74</v>
      </c>
      <c r="B10" s="26" t="n">
        <f aca="false">(1-(1+Inputs!$B$19)^-B9)/Inputs!$B$19</f>
        <v>12.9476723004309</v>
      </c>
      <c r="D10" s="10" t="s">
        <v>75</v>
      </c>
    </row>
    <row r="11" customFormat="false" ht="15" hidden="false" customHeight="false" outlineLevel="0" collapsed="false">
      <c r="A11" s="0" t="s">
        <v>76</v>
      </c>
      <c r="B11" s="18" t="n">
        <f aca="false">B15-B16</f>
        <v>531912.626929062</v>
      </c>
      <c r="D11" s="10" t="s">
        <v>77</v>
      </c>
    </row>
    <row r="12" customFormat="false" ht="15" hidden="false" customHeight="false" outlineLevel="0" collapsed="false">
      <c r="A12" s="0" t="s">
        <v>78</v>
      </c>
      <c r="B12" s="18" t="n">
        <f aca="false">Inputs!$B$32*((1-(1+Inputs!$B$19)^-MAX(0,Inputs!$B$8-Inputs!$B$23))/Inputs!$B$19)/(1+Inputs!$B$19)^MAX(0,Inputs!$B$23-Inputs!$B$20)</f>
        <v>180323.246728607</v>
      </c>
    </row>
    <row r="13" customFormat="false" ht="15" hidden="false" customHeight="false" outlineLevel="0" collapsed="false">
      <c r="A13" s="0" t="s">
        <v>79</v>
      </c>
      <c r="B13" s="18" t="n">
        <f aca="false">Inputs!$B$35*((1-(1+Inputs!$B$19)^-MAX(0,Inputs!$B$8-Inputs!$B$33))/Inputs!$B$19)/(1+Inputs!$B$19)^MAX(0,Inputs!$B$33-Inputs!$B$20)</f>
        <v>79627.2737803501</v>
      </c>
    </row>
    <row r="14" customFormat="false" ht="15" hidden="false" customHeight="false" outlineLevel="0" collapsed="false">
      <c r="A14" s="0" t="s">
        <v>80</v>
      </c>
      <c r="B14" s="18" t="n">
        <f aca="false">B4+B12+B13</f>
        <v>7003559.43664274</v>
      </c>
    </row>
    <row r="15" customFormat="false" ht="15" hidden="false" customHeight="false" outlineLevel="0" collapsed="false">
      <c r="A15" s="0" t="s">
        <v>81</v>
      </c>
      <c r="B15" s="18" t="n">
        <f aca="false">B14/B10</f>
        <v>540912.626929062</v>
      </c>
      <c r="D15" s="10" t="s">
        <v>82</v>
      </c>
    </row>
    <row r="16" customFormat="false" ht="15" hidden="false" customHeight="false" outlineLevel="0" collapsed="false">
      <c r="A16" s="0" t="s">
        <v>83</v>
      </c>
      <c r="B16" s="18" t="n">
        <f aca="false">MIN(Inputs!$B$35, MAX(0, B15-Inputs!$B$26)*0.15)</f>
        <v>9000</v>
      </c>
      <c r="D16" s="10" t="s">
        <v>84</v>
      </c>
    </row>
    <row r="18" customFormat="false" ht="15" hidden="false" customHeight="false" outlineLevel="0" collapsed="false">
      <c r="A18" s="4" t="s">
        <v>85</v>
      </c>
      <c r="B18" s="5"/>
      <c r="C18" s="5"/>
      <c r="D18" s="5"/>
    </row>
    <row r="19" customFormat="false" ht="15" hidden="false" customHeight="false" outlineLevel="0" collapsed="false">
      <c r="A19" s="15" t="s">
        <v>86</v>
      </c>
      <c r="B19" s="15" t="s">
        <v>87</v>
      </c>
      <c r="C19" s="15" t="s">
        <v>88</v>
      </c>
    </row>
    <row r="20" customFormat="false" ht="15" hidden="false" customHeight="false" outlineLevel="0" collapsed="false">
      <c r="A20" s="0" t="s">
        <v>89</v>
      </c>
      <c r="B20" s="27" t="n">
        <f aca="false">B15-Inputs!$B$32-Inputs!$B$35</f>
        <v>501473.652570087</v>
      </c>
      <c r="C20" s="20" t="n">
        <f aca="false">Inputs!$B$20</f>
        <v>60</v>
      </c>
    </row>
    <row r="21" customFormat="false" ht="15" hidden="false" customHeight="false" outlineLevel="0" collapsed="false">
      <c r="A21" s="0" t="s">
        <v>90</v>
      </c>
      <c r="B21" s="22" t="n">
        <f aca="false">Inputs!$B$32</f>
        <v>30438.9743589744</v>
      </c>
      <c r="C21" s="20" t="n">
        <f aca="false">Inputs!$B$23</f>
        <v>70</v>
      </c>
    </row>
    <row r="22" customFormat="false" ht="15" hidden="false" customHeight="false" outlineLevel="0" collapsed="false">
      <c r="A22" s="0" t="s">
        <v>91</v>
      </c>
      <c r="B22" s="22" t="n">
        <f aca="false">Inputs!$B$35</f>
        <v>9000</v>
      </c>
      <c r="C22" s="20" t="n">
        <f aca="false">Inputs!$B$33</f>
        <v>65</v>
      </c>
    </row>
    <row r="23" customFormat="false" ht="15" hidden="false" customHeight="false" outlineLevel="0" collapsed="false">
      <c r="A23" s="0" t="s">
        <v>92</v>
      </c>
      <c r="B23" s="28" t="n">
        <f aca="false">-B16</f>
        <v>-9000</v>
      </c>
    </row>
    <row r="24" customFormat="false" ht="15" hidden="false" customHeight="false" outlineLevel="0" collapsed="false">
      <c r="A24" s="29" t="s">
        <v>93</v>
      </c>
      <c r="B24" s="30" t="n">
        <f aca="false">B11</f>
        <v>531912.626929062</v>
      </c>
    </row>
    <row r="26" customFormat="false" ht="15" hidden="false" customHeight="false" outlineLevel="0" collapsed="false">
      <c r="A26" s="4" t="s">
        <v>94</v>
      </c>
      <c r="B26" s="5"/>
      <c r="C26" s="5"/>
      <c r="D26" s="5"/>
    </row>
    <row r="27" customFormat="false" ht="15" hidden="false" customHeight="false" outlineLevel="0" collapsed="false">
      <c r="A27" s="0" t="s">
        <v>95</v>
      </c>
      <c r="B27" s="20" t="n">
        <f aca="false">Inputs!$B$29</f>
        <v>38</v>
      </c>
    </row>
    <row r="28" customFormat="false" ht="15" hidden="false" customHeight="false" outlineLevel="0" collapsed="false">
      <c r="A28" s="0" t="s">
        <v>96</v>
      </c>
      <c r="B28" s="31" t="n">
        <f aca="false">Inputs!$B$30</f>
        <v>0.974358974358974</v>
      </c>
      <c r="D28" s="10" t="s">
        <v>97</v>
      </c>
    </row>
    <row r="29" customFormat="false" ht="15" hidden="false" customHeight="false" outlineLevel="0" collapsed="false">
      <c r="A29" s="0" t="s">
        <v>98</v>
      </c>
      <c r="B29" s="31" t="n">
        <f aca="false">Inputs!$B$31</f>
        <v>1.42</v>
      </c>
      <c r="D29" s="10" t="s">
        <v>99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4.45" hidden="false" customHeight="false" outlineLevel="0" collapsed="false">
      <c r="A1" s="32" t="s">
        <v>100</v>
      </c>
    </row>
    <row r="2" customFormat="false" ht="18" hidden="false" customHeight="true" outlineLevel="0" collapsed="false">
      <c r="A2" s="33"/>
    </row>
    <row r="3" customFormat="false" ht="15" hidden="false" customHeight="false" outlineLevel="0" collapsed="false">
      <c r="A3" s="34" t="s">
        <v>101</v>
      </c>
    </row>
    <row r="4" customFormat="false" ht="28.35" hidden="false" customHeight="false" outlineLevel="0" collapsed="false">
      <c r="A4" s="33" t="s">
        <v>102</v>
      </c>
    </row>
    <row r="5" customFormat="false" ht="18" hidden="false" customHeight="true" outlineLevel="0" collapsed="false">
      <c r="A5" s="33"/>
    </row>
    <row r="6" customFormat="false" ht="28.35" hidden="false" customHeight="false" outlineLevel="0" collapsed="false">
      <c r="A6" s="33" t="s">
        <v>103</v>
      </c>
    </row>
    <row r="7" customFormat="false" ht="18" hidden="false" customHeight="true" outlineLevel="0" collapsed="false">
      <c r="A7" s="33"/>
    </row>
    <row r="8" customFormat="false" ht="28.35" hidden="false" customHeight="false" outlineLevel="0" collapsed="false">
      <c r="A8" s="33" t="s">
        <v>104</v>
      </c>
    </row>
    <row r="9" customFormat="false" ht="18" hidden="false" customHeight="true" outlineLevel="0" collapsed="false">
      <c r="A9" s="33"/>
    </row>
    <row r="10" customFormat="false" ht="41.75" hidden="false" customHeight="false" outlineLevel="0" collapsed="false">
      <c r="A10" s="33" t="s">
        <v>105</v>
      </c>
    </row>
    <row r="11" customFormat="false" ht="18" hidden="false" customHeight="true" outlineLevel="0" collapsed="false">
      <c r="A11" s="33"/>
    </row>
    <row r="12" customFormat="false" ht="28.35" hidden="false" customHeight="false" outlineLevel="0" collapsed="false">
      <c r="A12" s="33" t="s">
        <v>106</v>
      </c>
    </row>
    <row r="13" customFormat="false" ht="18" hidden="false" customHeight="true" outlineLevel="0" collapsed="false">
      <c r="A13" s="33"/>
    </row>
    <row r="14" customFormat="false" ht="41.75" hidden="false" customHeight="false" outlineLevel="0" collapsed="false">
      <c r="A14" s="33" t="s">
        <v>107</v>
      </c>
    </row>
    <row r="15" customFormat="false" ht="18" hidden="false" customHeight="true" outlineLevel="0" collapsed="false">
      <c r="A15" s="33"/>
    </row>
    <row r="16" customFormat="false" ht="28.35" hidden="false" customHeight="false" outlineLevel="0" collapsed="false">
      <c r="A16" s="33" t="s">
        <v>108</v>
      </c>
    </row>
    <row r="17" customFormat="false" ht="18" hidden="false" customHeight="true" outlineLevel="0" collapsed="false">
      <c r="A17" s="33"/>
    </row>
    <row r="18" customFormat="false" ht="15" hidden="false" customHeight="false" outlineLevel="0" collapsed="false">
      <c r="A18" s="34" t="s">
        <v>109</v>
      </c>
    </row>
    <row r="19" customFormat="false" ht="28.35" hidden="false" customHeight="false" outlineLevel="0" collapsed="false">
      <c r="A19" s="33" t="s">
        <v>110</v>
      </c>
    </row>
    <row r="20" customFormat="false" ht="18" hidden="false" customHeight="true" outlineLevel="0" collapsed="false">
      <c r="A20" s="33"/>
    </row>
    <row r="21" customFormat="false" ht="28.35" hidden="false" customHeight="false" outlineLevel="0" collapsed="false">
      <c r="A21" s="33" t="s">
        <v>111</v>
      </c>
    </row>
    <row r="22" customFormat="false" ht="18" hidden="false" customHeight="true" outlineLevel="0" collapsed="false">
      <c r="A22" s="33"/>
    </row>
    <row r="23" customFormat="false" ht="41.75" hidden="false" customHeight="false" outlineLevel="0" collapsed="false">
      <c r="A23" s="33" t="s">
        <v>112</v>
      </c>
    </row>
    <row r="24" customFormat="false" ht="18" hidden="false" customHeight="true" outlineLevel="0" collapsed="false">
      <c r="A24" s="33"/>
    </row>
    <row r="25" customFormat="false" ht="28.35" hidden="false" customHeight="false" outlineLevel="0" collapsed="false">
      <c r="A25" s="33" t="s">
        <v>113</v>
      </c>
    </row>
    <row r="26" customFormat="false" ht="18" hidden="false" customHeight="true" outlineLevel="0" collapsed="false">
      <c r="A26" s="33"/>
    </row>
    <row r="27" customFormat="false" ht="15" hidden="false" customHeight="false" outlineLevel="0" collapsed="false">
      <c r="A27" s="33"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2026-05-04T15:46:34Z</dcterms:created>
  <dc:creator>openpyxl</dc:creator>
  <dc:description/>
  <dc:language>en-US</dc:language>
  <cp:lastModifiedBy/>
  <dcterms:modified xsi:type="dcterms:W3CDTF">2026-05-04T15:46:34Z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